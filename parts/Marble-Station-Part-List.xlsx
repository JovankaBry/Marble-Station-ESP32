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Ruben\Documents\Git\Marble-Station-ESP32\parts\"/>
    </mc:Choice>
  </mc:AlternateContent>
  <xr:revisionPtr revIDLastSave="0" documentId="13_ncr:1_{4A4EBF8C-E846-4019-8126-162ECD6E215D}" xr6:coauthVersionLast="47" xr6:coauthVersionMax="47" xr10:uidLastSave="{00000000-0000-0000-0000-000000000000}"/>
  <bookViews>
    <workbookView xWindow="-21705" yWindow="6450" windowWidth="21810" windowHeight="18945" xr2:uid="{C4091438-3C34-46B4-BEF6-AD84959AFF8F}"/>
  </bookViews>
  <sheets>
    <sheet name="Bills Of Material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9" i="1" l="1"/>
  <c r="F13" i="1"/>
  <c r="F8" i="1"/>
  <c r="F5" i="1"/>
</calcChain>
</file>

<file path=xl/sharedStrings.xml><?xml version="1.0" encoding="utf-8"?>
<sst xmlns="http://schemas.openxmlformats.org/spreadsheetml/2006/main" count="77" uniqueCount="46">
  <si>
    <t>No.</t>
  </si>
  <si>
    <t>Component</t>
  </si>
  <si>
    <t>Quantity</t>
  </si>
  <si>
    <t>Description</t>
  </si>
  <si>
    <t>Status</t>
  </si>
  <si>
    <t>Main controller (Wi-Fi + Bluetooth)</t>
  </si>
  <si>
    <t>Price</t>
  </si>
  <si>
    <t>Marble Station with ESP32</t>
  </si>
  <si>
    <t>USB-C Cable</t>
  </si>
  <si>
    <t>USB-C Cable 3m</t>
  </si>
  <si>
    <t>https://www.amazon.de/ANMIEL-Typ-C-Kabel-Ladekabel-Datenkabel-geflochten/dp/B09C3HH7KJ/ref=sr_1_6?__mk_de_DE=%C3%85M%C3%85%C5%BD%C3%95%C3%91&amp;crid=1HUJ8X6PSQNU8&amp;dib=eyJ2IjoiMSJ9.ZH0eL8XvX3DTxCgYcgGTokPY-OCGP9OmCfUbJRX_O8dVp8Y1XLwoEsrPFcvnPVLZvmFR-zCeVbO2opkI9v6wstHb3PzAZOQLPOyeihnSe59NsRuwoXQmF8VlHnoIDHRuSmQaxgReVVoqtUnIHtv6TfrKTgO9Kh6iiAGngLh5Ulc8iYjsqR6B1GuoUGYiygCZirhfQUZHJkvbFNL__RF-xSf5BIU2C9X4cmz_-YjN3Lo.3DULeIhGb1u3SODSffwhRyhMYPrRy90LZrRDQ7fSg-g&amp;dib_tag=se&amp;keywords=usb%2Bc%2Bkabel%2Bdata%2B3m&amp;qid=1761953154&amp;sprefix=usb%2Bc%2Bkabel%2Bdata%2B3m%2Caps%2C103&amp;sr=8-6&amp;th=1</t>
  </si>
  <si>
    <t>Not ordered</t>
  </si>
  <si>
    <t>-</t>
  </si>
  <si>
    <t>3D-Printer</t>
  </si>
  <si>
    <t>3D Printer up to 250€</t>
  </si>
  <si>
    <t>(black Friday)</t>
  </si>
  <si>
    <t>Servo SG90 9g</t>
  </si>
  <si>
    <t>Ali Express</t>
  </si>
  <si>
    <t>Servo Motor 180 6x</t>
  </si>
  <si>
    <t>Cable 22 AWG</t>
  </si>
  <si>
    <t>Cable 18 AWG</t>
  </si>
  <si>
    <t>Cable 18 AWG RED/Black</t>
  </si>
  <si>
    <t>Ali Express USB-C Cable 3m</t>
  </si>
  <si>
    <t>PLA-Filament</t>
  </si>
  <si>
    <t>3D Printer 1kg Filament</t>
  </si>
  <si>
    <t>Adapter 5V 3A</t>
  </si>
  <si>
    <t>Netzteil Adapter AC 220V DC  5V</t>
  </si>
  <si>
    <t xml:space="preserve">Prototype Board </t>
  </si>
  <si>
    <t>5x7 ; 4x6 @ 2.54</t>
  </si>
  <si>
    <t>ESP-32 38Pin CP2102</t>
  </si>
  <si>
    <t>122 Stück Elektrolytkondensator 16 V 25 V 50 V Aluminium</t>
  </si>
  <si>
    <t>Power Jack Port</t>
  </si>
  <si>
    <t>5,5X2,5 MM DC Power Jack Buchse Stecker DC005 10x</t>
  </si>
  <si>
    <t>2200uF 16V 10 pcs</t>
  </si>
  <si>
    <t>El. Capacitors</t>
  </si>
  <si>
    <t>Cer. Capacitors</t>
  </si>
  <si>
    <t>300 teile/los 50 V 2PF-0,1 UF 30</t>
  </si>
  <si>
    <t>Gravi Tax Marble Run</t>
  </si>
  <si>
    <t>Gravi Tax Base</t>
  </si>
  <si>
    <t>PCB Production</t>
  </si>
  <si>
    <t>Jack Power PCB</t>
  </si>
  <si>
    <t>JLCPcb</t>
  </si>
  <si>
    <t>Ordered</t>
  </si>
  <si>
    <t>Source</t>
  </si>
  <si>
    <t>SMD Electrolytic Cap.</t>
  </si>
  <si>
    <t>16V 1000uF 10x10.2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</si>
</sst>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#,##0.00\ &quot;€&quot;"/>
  </numFmts>
  <fonts count="7" x14ac:knownFonts="1">
    <font>
      <sz val="11"/>
      <color theme="1"/>
      <name val="Aptos Narrow"/>
      <family val="2"/>
      <scheme val="minor"/>
    </font>
    <font>
      <b/>
      <sz val="24"/>
      <color rgb="FF000000"/>
      <name val="Calibri"/>
    </font>
    <font>
      <b/>
      <sz val="11"/>
      <color rgb="FF000000"/>
      <name val="Calibri"/>
      <family val="2"/>
    </font>
    <font>
      <sz val="11"/>
      <color rgb="FF000000"/>
      <name val="Calibri"/>
      <family val="2"/>
    </font>
    <font>
      <b/>
      <sz val="24"/>
      <color rgb="FF000000"/>
      <name val="Calibri"/>
      <family val="2"/>
    </font>
    <font>
      <u/>
      <sz val="11"/>
      <color theme="10"/>
      <name val="Aptos Narrow"/>
      <family val="2"/>
      <scheme val="minor"/>
    </font>
    <font>
      <sz val="8"/>
      <name val="Aptos Narrow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9BBB59"/>
        <bgColor rgb="FF000000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9" tint="0.79998168889431442"/>
        <bgColor indexed="64"/>
      </patternFill>
    </fill>
  </fills>
  <borders count="15">
    <border>
      <left/>
      <right/>
      <top/>
      <bottom/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 style="medium">
        <color rgb="FF000000"/>
      </right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/>
      <top/>
      <bottom/>
      <diagonal/>
    </border>
  </borders>
  <cellStyleXfs count="2">
    <xf numFmtId="0" fontId="0" fillId="0" borderId="0"/>
    <xf numFmtId="0" fontId="5" fillId="0" borderId="0" applyNumberFormat="0" applyFill="0" applyBorder="0" applyAlignment="0" applyProtection="0"/>
  </cellStyleXfs>
  <cellXfs count="29">
    <xf numFmtId="0" fontId="0" fillId="0" borderId="0" xfId="0"/>
    <xf numFmtId="0" fontId="3" fillId="0" borderId="1" xfId="0" applyFont="1" applyBorder="1" applyAlignment="1">
      <alignment horizontal="center" vertical="center"/>
    </xf>
    <xf numFmtId="0" fontId="2" fillId="0" borderId="5" xfId="0" applyFont="1" applyBorder="1" applyAlignment="1">
      <alignment horizontal="center" vertical="center"/>
    </xf>
    <xf numFmtId="0" fontId="2" fillId="0" borderId="6" xfId="0" applyFont="1" applyBorder="1" applyAlignment="1">
      <alignment horizontal="center" vertical="top"/>
    </xf>
    <xf numFmtId="0" fontId="2" fillId="0" borderId="7" xfId="0" applyFont="1" applyBorder="1" applyAlignment="1">
      <alignment horizontal="center"/>
    </xf>
    <xf numFmtId="0" fontId="2" fillId="0" borderId="14" xfId="0" applyFont="1" applyBorder="1" applyAlignment="1">
      <alignment horizontal="center" vertical="top"/>
    </xf>
    <xf numFmtId="0" fontId="0" fillId="0" borderId="0" xfId="0" applyAlignment="1">
      <alignment wrapText="1"/>
    </xf>
    <xf numFmtId="0" fontId="3" fillId="0" borderId="2" xfId="0" applyFont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164" fontId="2" fillId="0" borderId="14" xfId="0" applyNumberFormat="1" applyFont="1" applyBorder="1" applyAlignment="1">
      <alignment horizontal="center" vertical="top"/>
    </xf>
    <xf numFmtId="164" fontId="3" fillId="0" borderId="4" xfId="0" applyNumberFormat="1" applyFont="1" applyBorder="1" applyAlignment="1">
      <alignment horizontal="center" vertical="center"/>
    </xf>
    <xf numFmtId="164" fontId="0" fillId="0" borderId="0" xfId="0" applyNumberFormat="1"/>
    <xf numFmtId="0" fontId="5" fillId="0" borderId="4" xfId="1" applyBorder="1" applyAlignment="1">
      <alignment horizontal="center" vertical="center"/>
    </xf>
    <xf numFmtId="0" fontId="3" fillId="0" borderId="4" xfId="0" applyFont="1" applyBorder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3" borderId="4" xfId="0" applyFont="1" applyFill="1" applyBorder="1" applyAlignment="1">
      <alignment horizontal="center" vertical="center"/>
    </xf>
    <xf numFmtId="164" fontId="3" fillId="3" borderId="4" xfId="0" applyNumberFormat="1" applyFont="1" applyFill="1" applyBorder="1" applyAlignment="1">
      <alignment horizontal="center" vertical="center"/>
    </xf>
    <xf numFmtId="0" fontId="3" fillId="0" borderId="2" xfId="0" applyFont="1" applyBorder="1" applyAlignment="1">
      <alignment horizontal="center" vertical="center" wrapText="1"/>
    </xf>
    <xf numFmtId="164" fontId="4" fillId="0" borderId="8" xfId="0" applyNumberFormat="1" applyFont="1" applyBorder="1" applyAlignment="1">
      <alignment horizontal="center"/>
    </xf>
    <xf numFmtId="164" fontId="1" fillId="0" borderId="9" xfId="0" applyNumberFormat="1" applyFont="1" applyBorder="1" applyAlignment="1">
      <alignment horizontal="center"/>
    </xf>
    <xf numFmtId="164" fontId="1" fillId="0" borderId="10" xfId="0" applyNumberFormat="1" applyFont="1" applyBorder="1" applyAlignment="1">
      <alignment horizontal="center"/>
    </xf>
    <xf numFmtId="164" fontId="1" fillId="0" borderId="11" xfId="0" applyNumberFormat="1" applyFont="1" applyBorder="1" applyAlignment="1">
      <alignment horizontal="center"/>
    </xf>
    <xf numFmtId="164" fontId="1" fillId="0" borderId="12" xfId="0" applyNumberFormat="1" applyFont="1" applyBorder="1" applyAlignment="1">
      <alignment horizontal="center"/>
    </xf>
    <xf numFmtId="164" fontId="1" fillId="0" borderId="13" xfId="0" applyNumberFormat="1" applyFont="1" applyBorder="1" applyAlignment="1">
      <alignment horizontal="center"/>
    </xf>
    <xf numFmtId="0" fontId="3" fillId="4" borderId="1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164" fontId="3" fillId="4" borderId="4" xfId="0" applyNumberFormat="1" applyFont="1" applyFill="1" applyBorder="1" applyAlignment="1">
      <alignment horizontal="center" vertical="center"/>
    </xf>
  </cellXfs>
  <cellStyles count="2">
    <cellStyle name="Hyperlink" xfId="1" builtinId="8"/>
    <cellStyle name="Normal" xfId="0" builtinId="0"/>
  </cellStyles>
  <dxfs count="3">
    <dxf>
      <fill>
        <patternFill>
          <bgColor theme="9" tint="0.39994506668294322"/>
        </patternFill>
      </fill>
    </dxf>
    <dxf>
      <fill>
        <patternFill>
          <bgColor theme="5" tint="0.39994506668294322"/>
        </patternFill>
      </fill>
    </dxf>
    <dxf>
      <fill>
        <patternFill>
          <bgColor rgb="FFC000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5785CA-F4AE-4464-AE2C-5F7A426F62CB}">
  <dimension ref="A1:G20"/>
  <sheetViews>
    <sheetView tabSelected="1" workbookViewId="0">
      <selection activeCell="B15" sqref="B15"/>
    </sheetView>
  </sheetViews>
  <sheetFormatPr defaultRowHeight="15" x14ac:dyDescent="0.25"/>
  <cols>
    <col min="2" max="2" width="42.42578125" customWidth="1"/>
    <col min="4" max="4" width="55" customWidth="1"/>
    <col min="5" max="5" width="31.140625" style="6" customWidth="1"/>
    <col min="6" max="6" width="25.42578125" style="11" customWidth="1"/>
    <col min="7" max="7" width="17.85546875" customWidth="1"/>
  </cols>
  <sheetData>
    <row r="1" spans="1:7" x14ac:dyDescent="0.25">
      <c r="A1" s="19" t="s">
        <v>7</v>
      </c>
      <c r="B1" s="20"/>
      <c r="C1" s="20"/>
      <c r="D1" s="20"/>
      <c r="E1" s="20"/>
      <c r="F1" s="20"/>
      <c r="G1" s="21"/>
    </row>
    <row r="2" spans="1:7" x14ac:dyDescent="0.25">
      <c r="A2" s="22"/>
      <c r="B2" s="23"/>
      <c r="C2" s="23"/>
      <c r="D2" s="23"/>
      <c r="E2" s="23"/>
      <c r="F2" s="23"/>
      <c r="G2" s="24"/>
    </row>
    <row r="3" spans="1:7" x14ac:dyDescent="0.25">
      <c r="A3" s="2" t="s">
        <v>0</v>
      </c>
      <c r="B3" s="3" t="s">
        <v>1</v>
      </c>
      <c r="C3" s="3" t="s">
        <v>2</v>
      </c>
      <c r="D3" s="3" t="s">
        <v>3</v>
      </c>
      <c r="E3" s="5" t="s">
        <v>43</v>
      </c>
      <c r="F3" s="9" t="s">
        <v>6</v>
      </c>
      <c r="G3" s="4" t="s">
        <v>4</v>
      </c>
    </row>
    <row r="4" spans="1:7" x14ac:dyDescent="0.25">
      <c r="A4" s="1">
        <v>1</v>
      </c>
      <c r="B4" s="7" t="s">
        <v>29</v>
      </c>
      <c r="C4" s="7">
        <v>1</v>
      </c>
      <c r="D4" s="7" t="s">
        <v>5</v>
      </c>
      <c r="E4" s="12" t="s">
        <v>17</v>
      </c>
      <c r="F4" s="10">
        <v>4.49</v>
      </c>
      <c r="G4" s="8" t="s">
        <v>11</v>
      </c>
    </row>
    <row r="5" spans="1:7" x14ac:dyDescent="0.25">
      <c r="A5" s="1">
        <v>2</v>
      </c>
      <c r="B5" s="7" t="s">
        <v>16</v>
      </c>
      <c r="C5" s="7">
        <v>2</v>
      </c>
      <c r="D5" s="7" t="s">
        <v>18</v>
      </c>
      <c r="E5" s="13" t="s">
        <v>17</v>
      </c>
      <c r="F5" s="10">
        <f>C5 * 3.69</f>
        <v>7.38</v>
      </c>
      <c r="G5" s="8" t="s">
        <v>11</v>
      </c>
    </row>
    <row r="6" spans="1:7" x14ac:dyDescent="0.25">
      <c r="A6" s="25">
        <v>3</v>
      </c>
      <c r="B6" s="26" t="s">
        <v>8</v>
      </c>
      <c r="C6" s="26">
        <v>1</v>
      </c>
      <c r="D6" s="26" t="s">
        <v>9</v>
      </c>
      <c r="E6" s="27" t="s">
        <v>10</v>
      </c>
      <c r="F6" s="28">
        <v>8.15</v>
      </c>
      <c r="G6" s="8" t="s">
        <v>11</v>
      </c>
    </row>
    <row r="7" spans="1:7" x14ac:dyDescent="0.25">
      <c r="A7" s="1">
        <v>4</v>
      </c>
      <c r="B7" s="7" t="s">
        <v>8</v>
      </c>
      <c r="C7" s="7">
        <v>1</v>
      </c>
      <c r="D7" s="7" t="s">
        <v>22</v>
      </c>
      <c r="E7" s="13" t="s">
        <v>17</v>
      </c>
      <c r="F7" s="10">
        <v>1.89</v>
      </c>
      <c r="G7" s="8" t="s">
        <v>11</v>
      </c>
    </row>
    <row r="8" spans="1:7" x14ac:dyDescent="0.25">
      <c r="A8" s="1">
        <v>5</v>
      </c>
      <c r="B8" s="7" t="s">
        <v>19</v>
      </c>
      <c r="C8" s="7">
        <v>1</v>
      </c>
      <c r="D8" s="7" t="s">
        <v>19</v>
      </c>
      <c r="E8" s="13" t="s">
        <v>17</v>
      </c>
      <c r="F8" s="10">
        <f>C8 * 8.29</f>
        <v>8.2899999999999991</v>
      </c>
      <c r="G8" s="8" t="s">
        <v>11</v>
      </c>
    </row>
    <row r="9" spans="1:7" x14ac:dyDescent="0.25">
      <c r="A9" s="1">
        <v>6</v>
      </c>
      <c r="B9" s="7" t="s">
        <v>20</v>
      </c>
      <c r="C9" s="7">
        <v>2</v>
      </c>
      <c r="D9" s="7" t="s">
        <v>21</v>
      </c>
      <c r="E9" s="13" t="s">
        <v>17</v>
      </c>
      <c r="F9" s="10">
        <f>C9 * 2.47</f>
        <v>4.9400000000000004</v>
      </c>
      <c r="G9" s="8" t="s">
        <v>11</v>
      </c>
    </row>
    <row r="10" spans="1:7" x14ac:dyDescent="0.25">
      <c r="A10" s="14">
        <v>7</v>
      </c>
      <c r="B10" s="15" t="s">
        <v>13</v>
      </c>
      <c r="C10" s="15">
        <v>1</v>
      </c>
      <c r="D10" s="15" t="s">
        <v>14</v>
      </c>
      <c r="E10" s="16" t="s">
        <v>15</v>
      </c>
      <c r="F10" s="17">
        <v>250</v>
      </c>
      <c r="G10" s="8" t="s">
        <v>11</v>
      </c>
    </row>
    <row r="11" spans="1:7" x14ac:dyDescent="0.25">
      <c r="A11" s="14">
        <v>8</v>
      </c>
      <c r="B11" s="15" t="s">
        <v>23</v>
      </c>
      <c r="C11" s="15">
        <v>1</v>
      </c>
      <c r="D11" s="15" t="s">
        <v>24</v>
      </c>
      <c r="E11" s="16" t="s">
        <v>12</v>
      </c>
      <c r="F11" s="17"/>
      <c r="G11" s="8" t="s">
        <v>11</v>
      </c>
    </row>
    <row r="12" spans="1:7" x14ac:dyDescent="0.25">
      <c r="A12" s="1">
        <v>9</v>
      </c>
      <c r="B12" s="7" t="s">
        <v>25</v>
      </c>
      <c r="C12" s="7">
        <v>1</v>
      </c>
      <c r="D12" s="7" t="s">
        <v>26</v>
      </c>
      <c r="E12" s="13" t="s">
        <v>17</v>
      </c>
      <c r="F12" s="10">
        <v>3.7</v>
      </c>
      <c r="G12" s="8" t="s">
        <v>11</v>
      </c>
    </row>
    <row r="13" spans="1:7" x14ac:dyDescent="0.25">
      <c r="A13" s="1">
        <v>10</v>
      </c>
      <c r="B13" s="7" t="s">
        <v>27</v>
      </c>
      <c r="C13" s="7">
        <v>2</v>
      </c>
      <c r="D13" s="7" t="s">
        <v>28</v>
      </c>
      <c r="E13" s="13" t="s">
        <v>17</v>
      </c>
      <c r="F13" s="10">
        <f>C13 * 2.89</f>
        <v>5.78</v>
      </c>
      <c r="G13" s="8" t="s">
        <v>11</v>
      </c>
    </row>
    <row r="14" spans="1:7" x14ac:dyDescent="0.25">
      <c r="A14" s="1">
        <v>11</v>
      </c>
      <c r="B14" s="7" t="s">
        <v>39</v>
      </c>
      <c r="C14" s="7">
        <v>3</v>
      </c>
      <c r="D14" s="18" t="s">
        <v>40</v>
      </c>
      <c r="E14" s="13" t="s">
        <v>41</v>
      </c>
      <c r="F14" s="10">
        <v>9.5500000000000007</v>
      </c>
      <c r="G14" s="8" t="s">
        <v>42</v>
      </c>
    </row>
    <row r="15" spans="1:7" x14ac:dyDescent="0.25">
      <c r="A15" s="1">
        <v>12</v>
      </c>
      <c r="B15" s="7" t="s">
        <v>31</v>
      </c>
      <c r="C15" s="7">
        <v>1</v>
      </c>
      <c r="D15" s="7" t="s">
        <v>32</v>
      </c>
      <c r="E15" s="13" t="s">
        <v>17</v>
      </c>
      <c r="F15" s="10">
        <v>1.35</v>
      </c>
      <c r="G15" s="8" t="s">
        <v>11</v>
      </c>
    </row>
    <row r="16" spans="1:7" x14ac:dyDescent="0.25">
      <c r="A16" s="1">
        <v>13</v>
      </c>
      <c r="B16" s="7" t="s">
        <v>34</v>
      </c>
      <c r="C16" s="7">
        <v>1</v>
      </c>
      <c r="D16" s="7" t="s">
        <v>30</v>
      </c>
      <c r="E16" s="13" t="s">
        <v>17</v>
      </c>
      <c r="F16" s="10">
        <v>3.69</v>
      </c>
      <c r="G16" s="8" t="s">
        <v>11</v>
      </c>
    </row>
    <row r="17" spans="1:7" x14ac:dyDescent="0.25">
      <c r="A17" s="1">
        <v>14</v>
      </c>
      <c r="B17" s="7" t="s">
        <v>34</v>
      </c>
      <c r="C17" s="7">
        <v>1</v>
      </c>
      <c r="D17" s="7" t="s">
        <v>33</v>
      </c>
      <c r="E17" s="13" t="s">
        <v>17</v>
      </c>
      <c r="F17" s="10">
        <v>1.94</v>
      </c>
      <c r="G17" s="8" t="s">
        <v>11</v>
      </c>
    </row>
    <row r="18" spans="1:7" x14ac:dyDescent="0.25">
      <c r="A18" s="1">
        <v>15</v>
      </c>
      <c r="B18" s="7" t="s">
        <v>35</v>
      </c>
      <c r="C18" s="7">
        <v>1</v>
      </c>
      <c r="D18" s="18" t="s">
        <v>36</v>
      </c>
      <c r="E18" s="13" t="s">
        <v>17</v>
      </c>
      <c r="F18" s="10">
        <v>1.69</v>
      </c>
      <c r="G18" s="8" t="s">
        <v>11</v>
      </c>
    </row>
    <row r="19" spans="1:7" x14ac:dyDescent="0.25">
      <c r="A19" s="1">
        <v>16</v>
      </c>
      <c r="B19" s="7" t="s">
        <v>44</v>
      </c>
      <c r="C19" s="7">
        <v>2</v>
      </c>
      <c r="D19" s="18" t="s">
        <v>45</v>
      </c>
      <c r="E19" s="13" t="s">
        <v>17</v>
      </c>
      <c r="F19" s="10">
        <v>1.99</v>
      </c>
      <c r="G19" s="8" t="s">
        <v>11</v>
      </c>
    </row>
    <row r="20" spans="1:7" x14ac:dyDescent="0.25">
      <c r="A20" s="1">
        <v>17</v>
      </c>
      <c r="B20" s="7" t="s">
        <v>37</v>
      </c>
      <c r="C20" s="7">
        <v>3</v>
      </c>
      <c r="D20" s="18" t="s">
        <v>38</v>
      </c>
      <c r="E20" s="13" t="s">
        <v>12</v>
      </c>
      <c r="F20" s="10" t="s">
        <v>12</v>
      </c>
      <c r="G20" s="8" t="s">
        <v>11</v>
      </c>
    </row>
  </sheetData>
  <mergeCells count="1">
    <mergeCell ref="A1:G2"/>
  </mergeCells>
  <phoneticPr fontId="6" type="noConversion"/>
  <conditionalFormatting sqref="G4:G20">
    <cfRule type="cellIs" dxfId="2" priority="1" operator="equal">
      <formula>"Not ordered"</formula>
    </cfRule>
    <cfRule type="cellIs" dxfId="1" priority="2" operator="equal">
      <formula>"Ordered"</formula>
    </cfRule>
    <cfRule type="cellIs" dxfId="0" priority="3" operator="equal">
      <formula>"In Stock"</formula>
    </cfRule>
  </conditionalFormatting>
  <dataValidations count="1">
    <dataValidation type="list" allowBlank="1" showInputMessage="1" showErrorMessage="1" sqref="G4:G20" xr:uid="{69404353-99F0-41F3-8F9D-7E5C48143DF8}">
      <formula1>"In stock,Ordered,Not ordered"</formula1>
    </dataValidation>
  </dataValidations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Bills Of Material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Bryan Sahetapy</dc:creator>
  <cp:lastModifiedBy>Bryan Sahetapy</cp:lastModifiedBy>
  <dcterms:created xsi:type="dcterms:W3CDTF">2025-10-30T23:03:04Z</dcterms:created>
  <dcterms:modified xsi:type="dcterms:W3CDTF">2025-11-03T22:20:35Z</dcterms:modified>
</cp:coreProperties>
</file>