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cuments\Git\Marble-Station-ESP32\parts\"/>
    </mc:Choice>
  </mc:AlternateContent>
  <xr:revisionPtr revIDLastSave="0" documentId="13_ncr:1_{EC4AC9F4-C146-4CC4-A4C8-0AEA246A06D6}" xr6:coauthVersionLast="47" xr6:coauthVersionMax="47" xr10:uidLastSave="{00000000-0000-0000-0000-000000000000}"/>
  <bookViews>
    <workbookView xWindow="-21705" yWindow="6450" windowWidth="21810" windowHeight="18945" activeTab="1" xr2:uid="{C4091438-3C34-46B4-BEF6-AD84959AFF8F}"/>
  </bookViews>
  <sheets>
    <sheet name="BOM Receiver" sheetId="1" r:id="rId1"/>
    <sheet name="BOM Transcei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5" i="1"/>
  <c r="F23" i="1"/>
  <c r="F6" i="2"/>
  <c r="F4" i="2"/>
  <c r="F13" i="2"/>
  <c r="F12" i="2"/>
  <c r="F11" i="2"/>
  <c r="F10" i="2"/>
  <c r="F9" i="2"/>
  <c r="F8" i="2"/>
  <c r="F7" i="2"/>
  <c r="F5" i="2"/>
  <c r="F24" i="1"/>
  <c r="F22" i="1"/>
  <c r="F8" i="1"/>
  <c r="F12" i="1"/>
  <c r="F7" i="1"/>
  <c r="F5" i="1"/>
  <c r="J13" i="2" l="1"/>
  <c r="J13" i="1"/>
</calcChain>
</file>

<file path=xl/sharedStrings.xml><?xml version="1.0" encoding="utf-8"?>
<sst xmlns="http://schemas.openxmlformats.org/spreadsheetml/2006/main" count="146" uniqueCount="80">
  <si>
    <t>No.</t>
  </si>
  <si>
    <t>Component</t>
  </si>
  <si>
    <t>Quantity</t>
  </si>
  <si>
    <t>Description</t>
  </si>
  <si>
    <t>Status</t>
  </si>
  <si>
    <t>Main controller (Wi-Fi + Bluetooth)</t>
  </si>
  <si>
    <t>Price</t>
  </si>
  <si>
    <t>Marble Station with ESP32</t>
  </si>
  <si>
    <t>USB-C Cable</t>
  </si>
  <si>
    <t>Not ordered</t>
  </si>
  <si>
    <t>-</t>
  </si>
  <si>
    <t>3D-Printer</t>
  </si>
  <si>
    <t>3D Printer up to 250€</t>
  </si>
  <si>
    <t>Servo SG90 9g</t>
  </si>
  <si>
    <t>Ali Express</t>
  </si>
  <si>
    <t>Servo Motor 180 6x</t>
  </si>
  <si>
    <t>Cable 22 AWG</t>
  </si>
  <si>
    <t>Cable 18 AWG</t>
  </si>
  <si>
    <t>Cable 18 AWG RED/Black</t>
  </si>
  <si>
    <t>Ali Express USB-C Cable 3m</t>
  </si>
  <si>
    <t>PLA-Filament</t>
  </si>
  <si>
    <t>3D Printer 1kg Filament</t>
  </si>
  <si>
    <t xml:space="preserve">Prototype Board </t>
  </si>
  <si>
    <t>ESP-32 38Pin CP2102</t>
  </si>
  <si>
    <t>Power Jack Port</t>
  </si>
  <si>
    <t>5,5X2,5 MM DC Power Jack Buchse Stecker DC005 10x</t>
  </si>
  <si>
    <t>2200uF 16V 10 pcs</t>
  </si>
  <si>
    <t>El. Capacitors</t>
  </si>
  <si>
    <t>Cer. Capacitors</t>
  </si>
  <si>
    <t>Gravi Tax Marble Run</t>
  </si>
  <si>
    <t>Gravi Tax Base</t>
  </si>
  <si>
    <t>PCB Production</t>
  </si>
  <si>
    <t>JLCPcb</t>
  </si>
  <si>
    <t>Ordered</t>
  </si>
  <si>
    <t>Source</t>
  </si>
  <si>
    <t>SMD Electrolytic Cap.</t>
  </si>
  <si>
    <t>16V 1000uF 10x10.2</t>
  </si>
  <si>
    <t>Adapter 5V 10A</t>
  </si>
  <si>
    <t>Netzteil Adapter AC 220V DC  5V 10A</t>
  </si>
  <si>
    <t>https://www.amazon.de/gp/product/B0DM97JMVS/ref=sw_img_1?smid=A6FTR3WNTF6EM&amp;th=1</t>
  </si>
  <si>
    <t>Motor Driver</t>
  </si>
  <si>
    <t>DRV883</t>
  </si>
  <si>
    <t>Micro DC Motor</t>
  </si>
  <si>
    <t>Micro DC Motor 3 V-6 V 8000 U/min 10x</t>
  </si>
  <si>
    <t>9x7 ; 4x6 @ 2.54</t>
  </si>
  <si>
    <t>120 Stück Elektrolytkondensator 16 V 25 V 50 V Aluminium</t>
  </si>
  <si>
    <t>Total</t>
  </si>
  <si>
    <t>TCRT5000</t>
  </si>
  <si>
    <t>Solder Station</t>
  </si>
  <si>
    <t>Lötstation Lötset 60W Lötkolben</t>
  </si>
  <si>
    <t>Amazon</t>
  </si>
  <si>
    <t>https://www.amazon.de/Ravensburger-Starter-Set-Kugelbahnsystem-Konstruktionsspielzeug-Produktlinien/dp/B0BSXKTRYZ/ref=sxbs_pa_sp_search_thematic_btf_sspa?__mk_de_DE=%C3%85M%C3%85%C5%BD%C3%95%C3%91&amp;content-id=amzn1.sym.14238797-2284-4030-be73-f85ec6483cda%3Aamzn1.sym.14238797-2284-4030-be73-f85ec6483cda&amp;crid=1Y7HZQ6BRLAEP&amp;cv_ct_cx=Kugelbahn&amp;keywords=Kugelbahn&amp;pd_rd_i=B0BSXKTRYZ&amp;pd_rd_r=5c0fa807-2c90-4dd4-bcd8-5df0ae05cffd&amp;pd_rd_w=E5PCS&amp;pd_rd_wg=13fO7&amp;pf_rd_p=14238797-2284-4030-be73-f85ec6483cda&amp;pf_rd_r=6WN8AJ1Z0XX78FXEGP9Z&amp;qid=1762375517&amp;sbo=RZvfv%2F%2FHxDF%2BO5021pAnSA%3D%3D&amp;sprefix=kugelbahn%2Caps%2C116&amp;sr=1-2-cab768cc-b5f2-405d-95e3-d2dfa86c6f23-spons&amp;sp_csd=d2lkZ2V0TmFtZT1zcF9zZWFyY2hfdGhlbWF0aWNfYnRm&amp;th=1</t>
  </si>
  <si>
    <t>Gravi Tax Entension Trax</t>
  </si>
  <si>
    <t>Ravensburger GraviTrax Extension Trax 22414  Erweiterung</t>
  </si>
  <si>
    <t>Jack Power PCB 25x</t>
  </si>
  <si>
    <t>TFT 1,8 Inch RGB Display</t>
  </si>
  <si>
    <t xml:space="preserve"> Vollfarb-TFT-LCD-Anzeigemodul 128 x 160 SPI, ST7735S</t>
  </si>
  <si>
    <t xml:space="preserve">TP4056 </t>
  </si>
  <si>
    <t>Charger Module</t>
  </si>
  <si>
    <t>TP4057 IC</t>
  </si>
  <si>
    <t>Charger Module IC 50x</t>
  </si>
  <si>
    <t>BSS84W-7-F</t>
  </si>
  <si>
    <t>P Channel MOSFET 50V 50x</t>
  </si>
  <si>
    <t>USB C Female Port</t>
  </si>
  <si>
    <t>USB Type C Female Port 10x</t>
  </si>
  <si>
    <t>Battery Terminal Connector</t>
  </si>
  <si>
    <t>2 Pins Terminal Connector</t>
  </si>
  <si>
    <t>Slide Switch</t>
  </si>
  <si>
    <t xml:space="preserve">SK12D07 Kippschalter 3PIN </t>
  </si>
  <si>
    <t>SMD-Diode SOD-123</t>
  </si>
  <si>
    <t xml:space="preserve"> SMD-Diode 0805 SOD-123 S4 1N5819 100x</t>
  </si>
  <si>
    <t xml:space="preserve">ESP-WROOM-32 </t>
  </si>
  <si>
    <t>CP2102 WIFI Bluetooth-Modul Dual Core Wireless-Modul ESP-32 ESP-WROOM-32</t>
  </si>
  <si>
    <t>25PCS Tactile Push Button Switch Momentary 12*12*7,3MM</t>
  </si>
  <si>
    <t xml:space="preserve">Tacitile Push Button </t>
  </si>
  <si>
    <t>Infrarot Reflektierende Sensor IR 4x</t>
  </si>
  <si>
    <t>In stock</t>
  </si>
  <si>
    <t>300 teile/los 50 V 2PF-0,1 UF 30 THT</t>
  </si>
  <si>
    <t>Master Screen 5x</t>
  </si>
  <si>
    <t>Kleineinzeigen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</si>
</sst>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Aptos Narrow"/>
      <family val="2"/>
      <scheme val="minor"/>
    </font>
    <font>
      <b/>
      <sz val="24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BBB5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top"/>
    </xf>
    <xf numFmtId="164" fontId="3" fillId="0" borderId="4" xfId="0" applyNumberFormat="1" applyFont="1" applyBorder="1" applyAlignment="1">
      <alignment horizontal="center" vertical="center"/>
    </xf>
    <xf numFmtId="164" fontId="0" fillId="0" borderId="0" xfId="0" applyNumberFormat="1"/>
    <xf numFmtId="0" fontId="5" fillId="0" borderId="4" xfId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3" borderId="4" xfId="1" applyFill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4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de/gp/product/B0DM97JMVS/ref=sw_img_1?smid=A6FTR3WNTF6EM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85CA-F4AE-4464-AE2C-5F7A426F62CB}">
  <dimension ref="A1:N24"/>
  <sheetViews>
    <sheetView workbookViewId="0">
      <selection activeCell="F34" sqref="F34"/>
    </sheetView>
  </sheetViews>
  <sheetFormatPr defaultRowHeight="15" x14ac:dyDescent="0.25"/>
  <cols>
    <col min="2" max="2" width="42.42578125" customWidth="1"/>
    <col min="4" max="4" width="55" customWidth="1"/>
    <col min="5" max="5" width="31.140625" style="6" customWidth="1"/>
    <col min="6" max="6" width="25.42578125" style="11" customWidth="1"/>
    <col min="7" max="7" width="17.85546875" customWidth="1"/>
  </cols>
  <sheetData>
    <row r="1" spans="1:14" ht="15" customHeight="1" x14ac:dyDescent="0.45">
      <c r="A1" s="35" t="s">
        <v>7</v>
      </c>
      <c r="B1" s="36"/>
      <c r="C1" s="36"/>
      <c r="D1" s="36"/>
      <c r="E1" s="36"/>
      <c r="F1" s="36"/>
      <c r="G1" s="37"/>
      <c r="J1" s="19"/>
      <c r="K1" s="19"/>
    </row>
    <row r="2" spans="1:14" ht="15" customHeight="1" x14ac:dyDescent="0.45">
      <c r="A2" s="38"/>
      <c r="B2" s="39"/>
      <c r="C2" s="39"/>
      <c r="D2" s="39"/>
      <c r="E2" s="39"/>
      <c r="F2" s="39"/>
      <c r="G2" s="40"/>
      <c r="J2" s="19"/>
      <c r="K2" s="19"/>
    </row>
    <row r="3" spans="1:14" x14ac:dyDescent="0.25">
      <c r="A3" s="2" t="s">
        <v>0</v>
      </c>
      <c r="B3" s="3" t="s">
        <v>1</v>
      </c>
      <c r="C3" s="3" t="s">
        <v>2</v>
      </c>
      <c r="D3" s="3" t="s">
        <v>3</v>
      </c>
      <c r="E3" s="5" t="s">
        <v>34</v>
      </c>
      <c r="F3" s="9" t="s">
        <v>6</v>
      </c>
      <c r="G3" s="4" t="s">
        <v>4</v>
      </c>
    </row>
    <row r="4" spans="1:14" x14ac:dyDescent="0.25">
      <c r="A4" s="1">
        <v>1</v>
      </c>
      <c r="B4" s="7" t="s">
        <v>23</v>
      </c>
      <c r="C4" s="7">
        <v>1</v>
      </c>
      <c r="D4" s="7" t="s">
        <v>5</v>
      </c>
      <c r="E4" s="12" t="s">
        <v>14</v>
      </c>
      <c r="F4" s="10">
        <v>4.49</v>
      </c>
      <c r="G4" s="8" t="s">
        <v>76</v>
      </c>
    </row>
    <row r="5" spans="1:14" x14ac:dyDescent="0.25">
      <c r="A5" s="1">
        <f>A4 + 1</f>
        <v>2</v>
      </c>
      <c r="B5" s="7" t="s">
        <v>13</v>
      </c>
      <c r="C5" s="7">
        <v>2</v>
      </c>
      <c r="D5" s="7" t="s">
        <v>15</v>
      </c>
      <c r="E5" s="13" t="s">
        <v>14</v>
      </c>
      <c r="F5" s="10">
        <f>C5 * 3.69</f>
        <v>7.38</v>
      </c>
      <c r="G5" s="8" t="s">
        <v>76</v>
      </c>
    </row>
    <row r="6" spans="1:14" x14ac:dyDescent="0.25">
      <c r="A6" s="1">
        <f t="shared" ref="A6:A24" si="0">A5 + 1</f>
        <v>3</v>
      </c>
      <c r="B6" s="7" t="s">
        <v>8</v>
      </c>
      <c r="C6" s="7">
        <v>1</v>
      </c>
      <c r="D6" s="7" t="s">
        <v>19</v>
      </c>
      <c r="E6" s="13" t="s">
        <v>14</v>
      </c>
      <c r="F6" s="10">
        <v>1.89</v>
      </c>
      <c r="G6" s="8" t="s">
        <v>76</v>
      </c>
    </row>
    <row r="7" spans="1:14" x14ac:dyDescent="0.25">
      <c r="A7" s="1">
        <f t="shared" si="0"/>
        <v>4</v>
      </c>
      <c r="B7" s="7" t="s">
        <v>16</v>
      </c>
      <c r="C7" s="7">
        <v>1</v>
      </c>
      <c r="D7" s="7" t="s">
        <v>16</v>
      </c>
      <c r="E7" s="13" t="s">
        <v>14</v>
      </c>
      <c r="F7" s="10">
        <f>C7 * 8.29</f>
        <v>8.2899999999999991</v>
      </c>
      <c r="G7" s="8" t="s">
        <v>33</v>
      </c>
    </row>
    <row r="8" spans="1:14" ht="15.75" thickBot="1" x14ac:dyDescent="0.3">
      <c r="A8" s="1">
        <f t="shared" si="0"/>
        <v>5</v>
      </c>
      <c r="B8" s="7" t="s">
        <v>17</v>
      </c>
      <c r="C8" s="7">
        <v>2</v>
      </c>
      <c r="D8" s="7" t="s">
        <v>18</v>
      </c>
      <c r="E8" s="13" t="s">
        <v>14</v>
      </c>
      <c r="F8" s="10">
        <f>C8 * 2.47</f>
        <v>4.9400000000000004</v>
      </c>
      <c r="G8" s="8" t="s">
        <v>76</v>
      </c>
    </row>
    <row r="9" spans="1:14" x14ac:dyDescent="0.25">
      <c r="A9" s="1">
        <f t="shared" si="0"/>
        <v>6</v>
      </c>
      <c r="B9" s="16" t="s">
        <v>11</v>
      </c>
      <c r="C9" s="16">
        <v>1</v>
      </c>
      <c r="D9" s="16" t="s">
        <v>12</v>
      </c>
      <c r="E9" s="17" t="s">
        <v>79</v>
      </c>
      <c r="F9" s="18">
        <v>100</v>
      </c>
      <c r="G9" s="8" t="s">
        <v>9</v>
      </c>
      <c r="J9" s="41" t="s">
        <v>46</v>
      </c>
      <c r="K9" s="42"/>
      <c r="L9" s="42"/>
      <c r="M9" s="42"/>
      <c r="N9" s="43"/>
    </row>
    <row r="10" spans="1:14" x14ac:dyDescent="0.25">
      <c r="A10" s="1">
        <f t="shared" si="0"/>
        <v>7</v>
      </c>
      <c r="B10" s="16" t="s">
        <v>20</v>
      </c>
      <c r="C10" s="16">
        <v>1</v>
      </c>
      <c r="D10" s="16" t="s">
        <v>21</v>
      </c>
      <c r="E10" s="17" t="s">
        <v>10</v>
      </c>
      <c r="F10" s="18"/>
      <c r="G10" s="8" t="s">
        <v>9</v>
      </c>
      <c r="J10" s="44"/>
      <c r="K10" s="45"/>
      <c r="L10" s="45"/>
      <c r="M10" s="45"/>
      <c r="N10" s="46"/>
    </row>
    <row r="11" spans="1:14" x14ac:dyDescent="0.25">
      <c r="A11" s="1">
        <f t="shared" si="0"/>
        <v>8</v>
      </c>
      <c r="B11" s="7" t="s">
        <v>37</v>
      </c>
      <c r="C11" s="7">
        <v>1</v>
      </c>
      <c r="D11" s="7" t="s">
        <v>38</v>
      </c>
      <c r="E11" s="12" t="s">
        <v>39</v>
      </c>
      <c r="F11" s="10">
        <v>16.989999999999998</v>
      </c>
      <c r="G11" s="8" t="s">
        <v>9</v>
      </c>
      <c r="J11" s="44"/>
      <c r="K11" s="45"/>
      <c r="L11" s="45"/>
      <c r="M11" s="45"/>
      <c r="N11" s="46"/>
    </row>
    <row r="12" spans="1:14" ht="15.75" thickBot="1" x14ac:dyDescent="0.3">
      <c r="A12" s="1">
        <f t="shared" si="0"/>
        <v>9</v>
      </c>
      <c r="B12" s="7" t="s">
        <v>22</v>
      </c>
      <c r="C12" s="7">
        <v>2</v>
      </c>
      <c r="D12" s="7" t="s">
        <v>44</v>
      </c>
      <c r="E12" s="13" t="s">
        <v>14</v>
      </c>
      <c r="F12" s="10">
        <f>C12 * 2.89</f>
        <v>5.78</v>
      </c>
      <c r="G12" s="8" t="s">
        <v>76</v>
      </c>
      <c r="J12" s="47"/>
      <c r="K12" s="48"/>
      <c r="L12" s="48"/>
      <c r="M12" s="48"/>
      <c r="N12" s="49"/>
    </row>
    <row r="13" spans="1:14" x14ac:dyDescent="0.25">
      <c r="A13" s="1">
        <f t="shared" si="0"/>
        <v>10</v>
      </c>
      <c r="B13" s="7" t="s">
        <v>31</v>
      </c>
      <c r="C13" s="7">
        <v>1</v>
      </c>
      <c r="D13" s="14" t="s">
        <v>54</v>
      </c>
      <c r="E13" s="13" t="s">
        <v>32</v>
      </c>
      <c r="F13" s="10">
        <v>9.5500000000000007</v>
      </c>
      <c r="G13" s="8" t="s">
        <v>76</v>
      </c>
      <c r="J13" s="26">
        <f>SUM(F4:F50)</f>
        <v>290.27000000000004</v>
      </c>
      <c r="K13" s="27"/>
      <c r="L13" s="27"/>
      <c r="M13" s="27"/>
      <c r="N13" s="28"/>
    </row>
    <row r="14" spans="1:14" x14ac:dyDescent="0.25">
      <c r="A14" s="1">
        <f t="shared" si="0"/>
        <v>11</v>
      </c>
      <c r="B14" s="7" t="s">
        <v>24</v>
      </c>
      <c r="C14" s="7">
        <v>1</v>
      </c>
      <c r="D14" s="7" t="s">
        <v>25</v>
      </c>
      <c r="E14" s="13" t="s">
        <v>14</v>
      </c>
      <c r="F14" s="10">
        <v>1.35</v>
      </c>
      <c r="G14" s="8" t="s">
        <v>76</v>
      </c>
      <c r="J14" s="29"/>
      <c r="K14" s="30"/>
      <c r="L14" s="30"/>
      <c r="M14" s="30"/>
      <c r="N14" s="31"/>
    </row>
    <row r="15" spans="1:14" x14ac:dyDescent="0.25">
      <c r="A15" s="1">
        <f t="shared" si="0"/>
        <v>12</v>
      </c>
      <c r="B15" s="7" t="s">
        <v>27</v>
      </c>
      <c r="C15" s="7">
        <v>1</v>
      </c>
      <c r="D15" s="7" t="s">
        <v>45</v>
      </c>
      <c r="E15" s="13" t="s">
        <v>14</v>
      </c>
      <c r="F15" s="10">
        <v>3.69</v>
      </c>
      <c r="G15" s="8" t="s">
        <v>76</v>
      </c>
      <c r="J15" s="29"/>
      <c r="K15" s="30"/>
      <c r="L15" s="30"/>
      <c r="M15" s="30"/>
      <c r="N15" s="31"/>
    </row>
    <row r="16" spans="1:14" ht="15.75" thickBot="1" x14ac:dyDescent="0.3">
      <c r="A16" s="1">
        <f t="shared" si="0"/>
        <v>13</v>
      </c>
      <c r="B16" s="7" t="s">
        <v>27</v>
      </c>
      <c r="C16" s="7">
        <v>1</v>
      </c>
      <c r="D16" s="7" t="s">
        <v>26</v>
      </c>
      <c r="E16" s="13" t="s">
        <v>14</v>
      </c>
      <c r="F16" s="10">
        <v>1.94</v>
      </c>
      <c r="G16" s="8" t="s">
        <v>76</v>
      </c>
      <c r="J16" s="32"/>
      <c r="K16" s="33"/>
      <c r="L16" s="33"/>
      <c r="M16" s="33"/>
      <c r="N16" s="34"/>
    </row>
    <row r="17" spans="1:7" x14ac:dyDescent="0.25">
      <c r="A17" s="1">
        <f t="shared" si="0"/>
        <v>14</v>
      </c>
      <c r="B17" s="7" t="s">
        <v>28</v>
      </c>
      <c r="C17" s="7">
        <v>1</v>
      </c>
      <c r="D17" s="14" t="s">
        <v>77</v>
      </c>
      <c r="E17" s="13" t="s">
        <v>14</v>
      </c>
      <c r="F17" s="10">
        <v>1.69</v>
      </c>
      <c r="G17" s="8" t="s">
        <v>76</v>
      </c>
    </row>
    <row r="18" spans="1:7" x14ac:dyDescent="0.25">
      <c r="A18" s="1">
        <f t="shared" si="0"/>
        <v>15</v>
      </c>
      <c r="B18" s="7" t="s">
        <v>35</v>
      </c>
      <c r="C18" s="7">
        <v>1</v>
      </c>
      <c r="D18" s="14" t="s">
        <v>36</v>
      </c>
      <c r="E18" s="13" t="s">
        <v>14</v>
      </c>
      <c r="F18" s="10">
        <v>1.99</v>
      </c>
      <c r="G18" s="8" t="s">
        <v>76</v>
      </c>
    </row>
    <row r="19" spans="1:7" x14ac:dyDescent="0.25">
      <c r="A19" s="1">
        <f t="shared" si="0"/>
        <v>16</v>
      </c>
      <c r="B19" s="20" t="s">
        <v>29</v>
      </c>
      <c r="C19" s="20">
        <v>1</v>
      </c>
      <c r="D19" s="21" t="s">
        <v>30</v>
      </c>
      <c r="E19" s="22" t="s">
        <v>51</v>
      </c>
      <c r="F19" s="23">
        <v>35.99</v>
      </c>
      <c r="G19" s="8" t="s">
        <v>9</v>
      </c>
    </row>
    <row r="20" spans="1:7" x14ac:dyDescent="0.25">
      <c r="A20" s="1">
        <f t="shared" si="0"/>
        <v>17</v>
      </c>
      <c r="B20" s="20" t="s">
        <v>52</v>
      </c>
      <c r="C20" s="20">
        <v>1</v>
      </c>
      <c r="D20" s="21" t="s">
        <v>53</v>
      </c>
      <c r="E20" s="22" t="s">
        <v>50</v>
      </c>
      <c r="F20" s="23">
        <v>19.79</v>
      </c>
      <c r="G20" s="8" t="s">
        <v>9</v>
      </c>
    </row>
    <row r="21" spans="1:7" x14ac:dyDescent="0.25">
      <c r="A21" s="1">
        <f t="shared" si="0"/>
        <v>18</v>
      </c>
      <c r="B21" s="7" t="s">
        <v>42</v>
      </c>
      <c r="C21" s="7">
        <v>1</v>
      </c>
      <c r="D21" s="14" t="s">
        <v>43</v>
      </c>
      <c r="E21" s="13" t="s">
        <v>14</v>
      </c>
      <c r="F21" s="10">
        <v>2.4900000000000002</v>
      </c>
      <c r="G21" s="8" t="s">
        <v>76</v>
      </c>
    </row>
    <row r="22" spans="1:7" x14ac:dyDescent="0.25">
      <c r="A22" s="1">
        <f t="shared" si="0"/>
        <v>19</v>
      </c>
      <c r="B22" s="7" t="s">
        <v>41</v>
      </c>
      <c r="C22" s="7">
        <v>3</v>
      </c>
      <c r="D22" s="14" t="s">
        <v>40</v>
      </c>
      <c r="E22" s="13" t="s">
        <v>14</v>
      </c>
      <c r="F22" s="10">
        <f>C22 * 1.19</f>
        <v>3.57</v>
      </c>
      <c r="G22" s="8" t="s">
        <v>76</v>
      </c>
    </row>
    <row r="23" spans="1:7" x14ac:dyDescent="0.25">
      <c r="A23" s="1">
        <f t="shared" si="0"/>
        <v>20</v>
      </c>
      <c r="B23" s="7" t="s">
        <v>47</v>
      </c>
      <c r="C23" s="7">
        <v>3</v>
      </c>
      <c r="D23" s="14" t="s">
        <v>75</v>
      </c>
      <c r="E23" s="13" t="s">
        <v>14</v>
      </c>
      <c r="F23" s="10">
        <f>C23 * 1.49</f>
        <v>4.47</v>
      </c>
      <c r="G23" s="8" t="s">
        <v>76</v>
      </c>
    </row>
    <row r="24" spans="1:7" x14ac:dyDescent="0.25">
      <c r="A24" s="1">
        <f t="shared" si="0"/>
        <v>21</v>
      </c>
      <c r="B24" s="7" t="s">
        <v>48</v>
      </c>
      <c r="C24" s="7">
        <v>1</v>
      </c>
      <c r="D24" s="14" t="s">
        <v>49</v>
      </c>
      <c r="E24" s="13" t="s">
        <v>50</v>
      </c>
      <c r="F24" s="10">
        <f>C24 * 53.99</f>
        <v>53.99</v>
      </c>
      <c r="G24" s="8" t="s">
        <v>9</v>
      </c>
    </row>
  </sheetData>
  <mergeCells count="3">
    <mergeCell ref="J13:N16"/>
    <mergeCell ref="A1:G2"/>
    <mergeCell ref="J9:N12"/>
  </mergeCells>
  <phoneticPr fontId="6" type="noConversion"/>
  <conditionalFormatting sqref="G4:G24">
    <cfRule type="cellIs" dxfId="5" priority="1" operator="equal">
      <formula>"Not ordered"</formula>
    </cfRule>
    <cfRule type="cellIs" dxfId="4" priority="2" operator="equal">
      <formula>"Ordered"</formula>
    </cfRule>
    <cfRule type="cellIs" dxfId="3" priority="3" operator="equal">
      <formula>"In Stock"</formula>
    </cfRule>
  </conditionalFormatting>
  <dataValidations count="1">
    <dataValidation type="list" allowBlank="1" showInputMessage="1" showErrorMessage="1" sqref="G4:G24" xr:uid="{69404353-99F0-41F3-8F9D-7E5C48143DF8}">
      <formula1>"In stock,Ordered,Not ordered"</formula1>
    </dataValidation>
  </dataValidations>
  <hyperlinks>
    <hyperlink ref="E11" r:id="rId1" xr:uid="{E8A5AAF1-A457-44FF-B03E-B13CD56D10C7}"/>
  </hyperlinks>
  <pageMargins left="0.7" right="0.7" top="0.75" bottom="0.75" header="0.3" footer="0.3"/>
  <pageSetup orientation="portrait" r:id="rId2"/>
  <headerFooter>
    <oddFooter>&amp;C_x000D_&amp;1#&amp;"Calibri"&amp;10&amp;K0000FF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4044-5250-4025-9307-388FF700D563}">
  <dimension ref="A1:N16"/>
  <sheetViews>
    <sheetView tabSelected="1" zoomScale="85" zoomScaleNormal="85" workbookViewId="0">
      <selection activeCell="D26" sqref="D26:D27"/>
    </sheetView>
  </sheetViews>
  <sheetFormatPr defaultRowHeight="15" x14ac:dyDescent="0.25"/>
  <cols>
    <col min="2" max="2" width="42.42578125" customWidth="1"/>
    <col min="4" max="4" width="77.5703125" customWidth="1"/>
    <col min="5" max="5" width="31.140625" style="6" customWidth="1"/>
    <col min="6" max="6" width="25.42578125" style="11" customWidth="1"/>
    <col min="7" max="7" width="17.85546875" customWidth="1"/>
  </cols>
  <sheetData>
    <row r="1" spans="1:14" ht="15" customHeight="1" x14ac:dyDescent="0.45">
      <c r="A1" s="35" t="s">
        <v>7</v>
      </c>
      <c r="B1" s="36"/>
      <c r="C1" s="36"/>
      <c r="D1" s="36"/>
      <c r="E1" s="36"/>
      <c r="F1" s="36"/>
      <c r="G1" s="37"/>
      <c r="J1" s="19"/>
      <c r="K1" s="19"/>
    </row>
    <row r="2" spans="1:14" ht="15" customHeight="1" x14ac:dyDescent="0.45">
      <c r="A2" s="38"/>
      <c r="B2" s="39"/>
      <c r="C2" s="39"/>
      <c r="D2" s="39"/>
      <c r="E2" s="39"/>
      <c r="F2" s="39"/>
      <c r="G2" s="40"/>
      <c r="J2" s="19"/>
      <c r="K2" s="19"/>
    </row>
    <row r="3" spans="1:14" x14ac:dyDescent="0.25">
      <c r="A3" s="2" t="s">
        <v>0</v>
      </c>
      <c r="B3" s="3" t="s">
        <v>1</v>
      </c>
      <c r="C3" s="3" t="s">
        <v>2</v>
      </c>
      <c r="D3" s="3" t="s">
        <v>3</v>
      </c>
      <c r="E3" s="5" t="s">
        <v>34</v>
      </c>
      <c r="F3" s="9" t="s">
        <v>6</v>
      </c>
      <c r="G3" s="4" t="s">
        <v>4</v>
      </c>
    </row>
    <row r="4" spans="1:14" x14ac:dyDescent="0.25">
      <c r="A4" s="1">
        <v>1</v>
      </c>
      <c r="B4" s="7" t="s">
        <v>71</v>
      </c>
      <c r="C4" s="7">
        <v>1</v>
      </c>
      <c r="D4" s="7" t="s">
        <v>72</v>
      </c>
      <c r="E4" s="12" t="s">
        <v>14</v>
      </c>
      <c r="F4" s="10">
        <f>C4 * 3.79</f>
        <v>3.79</v>
      </c>
      <c r="G4" s="8" t="s">
        <v>76</v>
      </c>
    </row>
    <row r="5" spans="1:14" x14ac:dyDescent="0.25">
      <c r="A5" s="1">
        <v>2</v>
      </c>
      <c r="B5" s="7" t="s">
        <v>55</v>
      </c>
      <c r="C5" s="7">
        <v>1</v>
      </c>
      <c r="D5" s="14" t="s">
        <v>56</v>
      </c>
      <c r="E5" s="12" t="s">
        <v>14</v>
      </c>
      <c r="F5" s="10">
        <f>C5 * 2.3</f>
        <v>2.2999999999999998</v>
      </c>
      <c r="G5" s="8" t="s">
        <v>76</v>
      </c>
    </row>
    <row r="6" spans="1:14" x14ac:dyDescent="0.25">
      <c r="A6" s="1">
        <v>3</v>
      </c>
      <c r="B6" s="7" t="s">
        <v>74</v>
      </c>
      <c r="C6" s="7">
        <v>1</v>
      </c>
      <c r="D6" s="14" t="s">
        <v>73</v>
      </c>
      <c r="E6" s="12" t="s">
        <v>14</v>
      </c>
      <c r="F6" s="10">
        <f>C6 * 1.59</f>
        <v>1.59</v>
      </c>
      <c r="G6" s="8" t="s">
        <v>76</v>
      </c>
    </row>
    <row r="7" spans="1:14" x14ac:dyDescent="0.25">
      <c r="A7" s="15">
        <v>4</v>
      </c>
      <c r="B7" s="16" t="s">
        <v>57</v>
      </c>
      <c r="C7" s="16">
        <v>1</v>
      </c>
      <c r="D7" s="24" t="s">
        <v>58</v>
      </c>
      <c r="E7" s="25" t="s">
        <v>14</v>
      </c>
      <c r="F7" s="18">
        <f>C7 * 2.13</f>
        <v>2.13</v>
      </c>
      <c r="G7" s="8" t="s">
        <v>9</v>
      </c>
    </row>
    <row r="8" spans="1:14" ht="15.75" thickBot="1" x14ac:dyDescent="0.3">
      <c r="A8" s="1">
        <v>5</v>
      </c>
      <c r="B8" s="7" t="s">
        <v>59</v>
      </c>
      <c r="C8" s="7">
        <v>1</v>
      </c>
      <c r="D8" s="14" t="s">
        <v>60</v>
      </c>
      <c r="E8" s="12" t="s">
        <v>14</v>
      </c>
      <c r="F8" s="10">
        <f>C8 * 2.15</f>
        <v>2.15</v>
      </c>
      <c r="G8" s="8" t="s">
        <v>76</v>
      </c>
    </row>
    <row r="9" spans="1:14" x14ac:dyDescent="0.25">
      <c r="A9" s="1">
        <v>6</v>
      </c>
      <c r="B9" s="7" t="s">
        <v>61</v>
      </c>
      <c r="C9" s="7">
        <v>1</v>
      </c>
      <c r="D9" s="14" t="s">
        <v>62</v>
      </c>
      <c r="E9" s="12" t="s">
        <v>14</v>
      </c>
      <c r="F9" s="10">
        <f>C9 * 3.89</f>
        <v>3.89</v>
      </c>
      <c r="G9" s="8" t="s">
        <v>76</v>
      </c>
      <c r="J9" s="41" t="s">
        <v>46</v>
      </c>
      <c r="K9" s="42"/>
      <c r="L9" s="42"/>
      <c r="M9" s="42"/>
      <c r="N9" s="43"/>
    </row>
    <row r="10" spans="1:14" x14ac:dyDescent="0.25">
      <c r="A10" s="1">
        <v>7</v>
      </c>
      <c r="B10" s="7" t="s">
        <v>63</v>
      </c>
      <c r="C10" s="7">
        <v>1</v>
      </c>
      <c r="D10" s="14" t="s">
        <v>64</v>
      </c>
      <c r="E10" s="12" t="s">
        <v>14</v>
      </c>
      <c r="F10" s="10">
        <f>C10 * 1.29</f>
        <v>1.29</v>
      </c>
      <c r="G10" s="8" t="s">
        <v>76</v>
      </c>
      <c r="J10" s="44"/>
      <c r="K10" s="45"/>
      <c r="L10" s="45"/>
      <c r="M10" s="45"/>
      <c r="N10" s="46"/>
    </row>
    <row r="11" spans="1:14" x14ac:dyDescent="0.25">
      <c r="A11" s="51">
        <v>8</v>
      </c>
      <c r="B11" s="20" t="s">
        <v>65</v>
      </c>
      <c r="C11" s="20">
        <v>1</v>
      </c>
      <c r="D11" s="21" t="s">
        <v>66</v>
      </c>
      <c r="E11" s="52" t="s">
        <v>14</v>
      </c>
      <c r="F11" s="23">
        <f>C11 * 1.77</f>
        <v>1.77</v>
      </c>
      <c r="G11" s="50" t="s">
        <v>76</v>
      </c>
      <c r="J11" s="44"/>
      <c r="K11" s="45"/>
      <c r="L11" s="45"/>
      <c r="M11" s="45"/>
      <c r="N11" s="46"/>
    </row>
    <row r="12" spans="1:14" ht="15.75" thickBot="1" x14ac:dyDescent="0.3">
      <c r="A12" s="1">
        <v>9</v>
      </c>
      <c r="B12" s="7" t="s">
        <v>67</v>
      </c>
      <c r="C12" s="7">
        <v>1</v>
      </c>
      <c r="D12" s="14" t="s">
        <v>68</v>
      </c>
      <c r="E12" s="12" t="s">
        <v>14</v>
      </c>
      <c r="F12" s="10">
        <f>C12 * 2.12</f>
        <v>2.12</v>
      </c>
      <c r="G12" s="8" t="s">
        <v>76</v>
      </c>
      <c r="J12" s="47"/>
      <c r="K12" s="48"/>
      <c r="L12" s="48"/>
      <c r="M12" s="48"/>
      <c r="N12" s="49"/>
    </row>
    <row r="13" spans="1:14" x14ac:dyDescent="0.25">
      <c r="A13" s="1">
        <v>10</v>
      </c>
      <c r="B13" s="7" t="s">
        <v>69</v>
      </c>
      <c r="C13" s="7">
        <v>1</v>
      </c>
      <c r="D13" s="14" t="s">
        <v>70</v>
      </c>
      <c r="E13" s="12" t="s">
        <v>14</v>
      </c>
      <c r="F13" s="10">
        <f>C13 * 2.15</f>
        <v>2.15</v>
      </c>
      <c r="G13" s="8" t="s">
        <v>76</v>
      </c>
      <c r="J13" s="26">
        <f>SUM(F4:F30)</f>
        <v>33.14</v>
      </c>
      <c r="K13" s="27"/>
      <c r="L13" s="27"/>
      <c r="M13" s="27"/>
      <c r="N13" s="28"/>
    </row>
    <row r="14" spans="1:14" x14ac:dyDescent="0.25">
      <c r="A14" s="1">
        <f t="shared" ref="A14" si="0">A13 + 1</f>
        <v>11</v>
      </c>
      <c r="B14" s="7" t="s">
        <v>31</v>
      </c>
      <c r="C14" s="7">
        <v>1</v>
      </c>
      <c r="D14" s="14" t="s">
        <v>78</v>
      </c>
      <c r="E14" s="13" t="s">
        <v>32</v>
      </c>
      <c r="F14" s="10">
        <v>9.9600000000000009</v>
      </c>
      <c r="G14" s="8" t="s">
        <v>33</v>
      </c>
      <c r="J14" s="29"/>
      <c r="K14" s="30"/>
      <c r="L14" s="30"/>
      <c r="M14" s="30"/>
      <c r="N14" s="31"/>
    </row>
    <row r="15" spans="1:14" x14ac:dyDescent="0.25">
      <c r="J15" s="29"/>
      <c r="K15" s="30"/>
      <c r="L15" s="30"/>
      <c r="M15" s="30"/>
      <c r="N15" s="31"/>
    </row>
    <row r="16" spans="1:14" ht="15.75" thickBot="1" x14ac:dyDescent="0.3">
      <c r="J16" s="32"/>
      <c r="K16" s="33"/>
      <c r="L16" s="33"/>
      <c r="M16" s="33"/>
      <c r="N16" s="34"/>
    </row>
  </sheetData>
  <mergeCells count="3">
    <mergeCell ref="A1:G2"/>
    <mergeCell ref="J9:N12"/>
    <mergeCell ref="J13:N16"/>
  </mergeCells>
  <phoneticPr fontId="6" type="noConversion"/>
  <conditionalFormatting sqref="G4:G14">
    <cfRule type="cellIs" dxfId="2" priority="1" operator="equal">
      <formula>"Not ordered"</formula>
    </cfRule>
    <cfRule type="cellIs" dxfId="1" priority="2" operator="equal">
      <formula>"Ordered"</formula>
    </cfRule>
    <cfRule type="cellIs" dxfId="0" priority="3" operator="equal">
      <formula>"In Stock"</formula>
    </cfRule>
  </conditionalFormatting>
  <dataValidations count="1">
    <dataValidation type="list" allowBlank="1" showInputMessage="1" showErrorMessage="1" sqref="G4:G14" xr:uid="{5C30DADA-6449-478F-B571-319D09B3C008}">
      <formula1>"In stock,Ordered,Not ordered"</formula1>
    </dataValidation>
  </dataValidations>
  <pageMargins left="0.7" right="0.7" top="0.75" bottom="0.75" header="0.3" footer="0.3"/>
  <headerFooter>
    <oddFooter>&amp;C_x000D_&amp;1#&amp;"Calibri"&amp;10&amp;K0000FF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Receiver</vt:lpstr>
      <vt:lpstr>BOM Transceiver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Sahetapy</dc:creator>
  <cp:lastModifiedBy>Bryan Sahetapy</cp:lastModifiedBy>
  <dcterms:created xsi:type="dcterms:W3CDTF">2025-10-30T23:03:04Z</dcterms:created>
  <dcterms:modified xsi:type="dcterms:W3CDTF">2025-11-19T19:09:14Z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69a5c-76a4-4ea4-983b-d23aa51552c4_Enabled">
    <vt:lpwstr>true</vt:lpwstr>
  </property>
  <property fmtid="{D5CDD505-2E9C-101B-9397-08002B2CF9AE}" pid="3" name="MSIP_Label_68f69a5c-76a4-4ea4-983b-d23aa51552c4_SetDate">
    <vt:lpwstr>2025-11-11T11:01:02Z</vt:lpwstr>
  </property>
  <property fmtid="{D5CDD505-2E9C-101B-9397-08002B2CF9AE}" pid="4" name="MSIP_Label_68f69a5c-76a4-4ea4-983b-d23aa51552c4_Method">
    <vt:lpwstr>Standard</vt:lpwstr>
  </property>
  <property fmtid="{D5CDD505-2E9C-101B-9397-08002B2CF9AE}" pid="5" name="MSIP_Label_68f69a5c-76a4-4ea4-983b-d23aa51552c4_Name">
    <vt:lpwstr>internal</vt:lpwstr>
  </property>
  <property fmtid="{D5CDD505-2E9C-101B-9397-08002B2CF9AE}" pid="6" name="MSIP_Label_68f69a5c-76a4-4ea4-983b-d23aa51552c4_SiteId">
    <vt:lpwstr>cd880204-bf6b-442d-856a-73aa1a7d8194</vt:lpwstr>
  </property>
  <property fmtid="{D5CDD505-2E9C-101B-9397-08002B2CF9AE}" pid="7" name="MSIP_Label_68f69a5c-76a4-4ea4-983b-d23aa51552c4_ActionId">
    <vt:lpwstr>4015bbb9-a55b-4d0c-a67e-d6dade0a4796</vt:lpwstr>
  </property>
  <property fmtid="{D5CDD505-2E9C-101B-9397-08002B2CF9AE}" pid="8" name="MSIP_Label_68f69a5c-76a4-4ea4-983b-d23aa51552c4_ContentBits">
    <vt:lpwstr>2</vt:lpwstr>
  </property>
  <property fmtid="{D5CDD505-2E9C-101B-9397-08002B2CF9AE}" pid="9" name="MSIP_Label_68f69a5c-76a4-4ea4-983b-d23aa51552c4_Tag">
    <vt:lpwstr>10, 3, 0, 1</vt:lpwstr>
  </property>
</Properties>
</file>