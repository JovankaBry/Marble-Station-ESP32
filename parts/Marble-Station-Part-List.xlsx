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6AFF8AE7-99B5-4EED-8851-048D6BC75531}" xr6:coauthVersionLast="47" xr6:coauthVersionMax="47" xr10:uidLastSave="{00000000-0000-0000-0000-000000000000}"/>
  <bookViews>
    <workbookView xWindow="-21600" yWindow="1770" windowWidth="21810" windowHeight="1593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4" i="1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<sst xmlns="http://schemas.openxmlformats.org/spreadsheetml/2006/main" count="146" uniqueCount="80">
  <si>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</si>
  <si>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</si>
  <si>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</si>
  <si>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</si>
  <si>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</si>
  <si>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</si>
  <si>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</si>
  <si>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</si>
  <si>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</si>
  <si>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</si>
  <si>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</si>
  <si>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</si>
  <si>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</si>
  <si>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</si>
  <si>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</si>
  <si>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</si>
  <si>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</si>
  <si>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</si>
  <si>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</si>
  <si>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</si>
  <si>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</si>
  <si>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</si>
  <si>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</si>
  <si>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</si>
  <si>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</si>
  <si>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</si>
  <si>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</si>
  <si>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</si>
  <si>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</si>
  <si>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</si>
  <si>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</si>
  <si>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</si>
  <si>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</si>
  <si>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</si>
  <si>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</si>
  <si>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</si>
  <si>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</si>
  <si>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</si>
  <si>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</si>
  <si>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</si>
  <si>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</si>
  <si>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</si>
  <si>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</si>
  <si>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</si>
  <si>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</si>
  <si>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</si>
  <si>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</si>
  <si>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</si>
  <si>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</si>
  <si>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</si>
  <si>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</si>
  <si>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</si>
  <si>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</si>
  <si>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</si>
  <si>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</si>
  <si>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</si>
  <si>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</si>
  <si>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</si>
  <si>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</si>
  <si>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</si>
  <si>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</si>
  <si>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</si>
  <si>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</si>
  <si>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</si>
  <si>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</si>
  <si>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</si>
  <si>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</si>
  <si>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</si>
  <si>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</si>
  <si>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</si>
  <si>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</si>
  <si>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</si>
  <si>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</si>
  <si>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</si>
  <si>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</si>
  <si>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</si>
  <si>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</si>
  <si>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</si>
  <si>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</si>
  <si>
    <t>PSU 5V 10A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</si>
</sst>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tabSelected="1" workbookViewId="0">
      <selection activeCell="D29" sqref="D29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24</v>
      </c>
      <c r="C4" s="7">
        <v>1</v>
      </c>
      <c r="D4" s="7" t="s">
        <v>5</v>
      </c>
      <c r="E4" s="12" t="s">
        <v>15</v>
      </c>
      <c r="F4" s="10">
        <v>4.49</v>
      </c>
      <c r="G4" s="8" t="s">
        <v>34</v>
      </c>
    </row>
    <row r="5" spans="1:14" x14ac:dyDescent="0.25">
      <c r="A5" s="1">
        <f>A4 + 1</f>
        <v>2</v>
      </c>
      <c r="B5" s="7" t="s">
        <v>14</v>
      </c>
      <c r="C5" s="7">
        <v>2</v>
      </c>
      <c r="D5" s="7" t="s">
        <v>16</v>
      </c>
      <c r="E5" s="13" t="s">
        <v>15</v>
      </c>
      <c r="F5" s="10">
        <f>C5 * 3.69</f>
        <v>7.38</v>
      </c>
      <c r="G5" s="8" t="s">
        <v>34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20</v>
      </c>
      <c r="E6" s="13" t="s">
        <v>15</v>
      </c>
      <c r="F6" s="10">
        <v>1.89</v>
      </c>
      <c r="G6" s="8" t="s">
        <v>76</v>
      </c>
    </row>
    <row r="7" spans="1:14" x14ac:dyDescent="0.25">
      <c r="A7" s="1">
        <f t="shared" si="0"/>
        <v>4</v>
      </c>
      <c r="B7" s="7" t="s">
        <v>17</v>
      </c>
      <c r="C7" s="7">
        <v>1</v>
      </c>
      <c r="D7" s="7" t="s">
        <v>17</v>
      </c>
      <c r="E7" s="13" t="s">
        <v>15</v>
      </c>
      <c r="F7" s="10">
        <f>C7 * 8.29</f>
        <v>8.2899999999999991</v>
      </c>
      <c r="G7" s="8" t="s">
        <v>9</v>
      </c>
    </row>
    <row r="8" spans="1:14" ht="15.75" thickBot="1" x14ac:dyDescent="0.3">
      <c r="A8" s="1">
        <f t="shared" si="0"/>
        <v>5</v>
      </c>
      <c r="B8" s="7" t="s">
        <v>18</v>
      </c>
      <c r="C8" s="7">
        <v>2</v>
      </c>
      <c r="D8" s="7" t="s">
        <v>19</v>
      </c>
      <c r="E8" s="13" t="s">
        <v>15</v>
      </c>
      <c r="F8" s="10">
        <f>C8 * 2.47</f>
        <v>4.9400000000000004</v>
      </c>
      <c r="G8" s="8" t="s">
        <v>34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13</v>
      </c>
      <c r="F9" s="18">
        <v>250</v>
      </c>
      <c r="G9" s="8" t="s">
        <v>9</v>
      </c>
      <c r="J9" s="41" t="s">
        <v>46</v>
      </c>
      <c r="K9" s="42"/>
      <c r="L9" s="42"/>
      <c r="M9" s="42"/>
      <c r="N9" s="43"/>
    </row>
    <row r="10" spans="1:14" x14ac:dyDescent="0.25">
      <c r="A10" s="1">
        <f t="shared" si="0"/>
        <v>7</v>
      </c>
      <c r="B10" s="16" t="s">
        <v>21</v>
      </c>
      <c r="C10" s="16">
        <v>1</v>
      </c>
      <c r="D10" s="16" t="s">
        <v>22</v>
      </c>
      <c r="E10" s="17" t="s">
        <v>10</v>
      </c>
      <c r="F10" s="18"/>
      <c r="G10" s="8" t="s">
        <v>9</v>
      </c>
      <c r="J10" s="44"/>
      <c r="K10" s="45"/>
      <c r="L10" s="45"/>
      <c r="M10" s="45"/>
      <c r="N10" s="46"/>
    </row>
    <row r="11" spans="1:14" x14ac:dyDescent="0.25">
      <c r="A11" s="1">
        <f t="shared" si="0"/>
        <v>8</v>
      </c>
      <c r="B11" s="7" t="s">
        <v>79</v>
      </c>
      <c r="C11" s="7">
        <v>1</v>
      </c>
      <c r="D11" s="7" t="s">
        <v>38</v>
      </c>
      <c r="E11" s="12" t="s">
        <v>39</v>
      </c>
      <c r="F11" s="10">
        <v>16.989999999999998</v>
      </c>
      <c r="G11" s="8" t="s">
        <v>9</v>
      </c>
      <c r="J11" s="44"/>
      <c r="K11" s="45"/>
      <c r="L11" s="45"/>
      <c r="M11" s="45"/>
      <c r="N11" s="46"/>
    </row>
    <row r="12" spans="1:14" ht="15.75" thickBot="1" x14ac:dyDescent="0.3">
      <c r="A12" s="1">
        <f t="shared" si="0"/>
        <v>9</v>
      </c>
      <c r="B12" s="7" t="s">
        <v>23</v>
      </c>
      <c r="C12" s="7">
        <v>2</v>
      </c>
      <c r="D12" s="7" t="s">
        <v>44</v>
      </c>
      <c r="E12" s="13" t="s">
        <v>15</v>
      </c>
      <c r="F12" s="10">
        <f>C12 * 2.89</f>
        <v>5.78</v>
      </c>
      <c r="G12" s="8" t="s">
        <v>76</v>
      </c>
      <c r="J12" s="47"/>
      <c r="K12" s="48"/>
      <c r="L12" s="48"/>
      <c r="M12" s="48"/>
      <c r="N12" s="49"/>
    </row>
    <row r="13" spans="1:14" x14ac:dyDescent="0.25">
      <c r="A13" s="1">
        <f t="shared" si="0"/>
        <v>10</v>
      </c>
      <c r="B13" s="7" t="s">
        <v>32</v>
      </c>
      <c r="C13" s="7">
        <v>1</v>
      </c>
      <c r="D13" s="14" t="s">
        <v>54</v>
      </c>
      <c r="E13" s="13" t="s">
        <v>33</v>
      </c>
      <c r="F13" s="10">
        <v>9.5500000000000007</v>
      </c>
      <c r="G13" s="8" t="s">
        <v>34</v>
      </c>
      <c r="J13" s="26">
        <f>SUM(F4:F50)</f>
        <v>440.2700000000001</v>
      </c>
      <c r="K13" s="27"/>
      <c r="L13" s="27"/>
      <c r="M13" s="27"/>
      <c r="N13" s="28"/>
    </row>
    <row r="14" spans="1:14" x14ac:dyDescent="0.25">
      <c r="A14" s="1">
        <f t="shared" si="0"/>
        <v>11</v>
      </c>
      <c r="B14" s="7" t="s">
        <v>25</v>
      </c>
      <c r="C14" s="7">
        <v>1</v>
      </c>
      <c r="D14" s="7" t="s">
        <v>26</v>
      </c>
      <c r="E14" s="13" t="s">
        <v>15</v>
      </c>
      <c r="F14" s="10">
        <v>1.35</v>
      </c>
      <c r="G14" s="8" t="s">
        <v>76</v>
      </c>
      <c r="J14" s="29"/>
      <c r="K14" s="30"/>
      <c r="L14" s="30"/>
      <c r="M14" s="30"/>
      <c r="N14" s="31"/>
    </row>
    <row r="15" spans="1:14" x14ac:dyDescent="0.25">
      <c r="A15" s="1">
        <f t="shared" si="0"/>
        <v>12</v>
      </c>
      <c r="B15" s="7" t="s">
        <v>28</v>
      </c>
      <c r="C15" s="7">
        <v>1</v>
      </c>
      <c r="D15" s="7" t="s">
        <v>45</v>
      </c>
      <c r="E15" s="13" t="s">
        <v>15</v>
      </c>
      <c r="F15" s="10">
        <v>3.69</v>
      </c>
      <c r="G15" s="8" t="s">
        <v>34</v>
      </c>
      <c r="J15" s="29"/>
      <c r="K15" s="30"/>
      <c r="L15" s="30"/>
      <c r="M15" s="30"/>
      <c r="N15" s="31"/>
    </row>
    <row r="16" spans="1:14" ht="15.75" thickBot="1" x14ac:dyDescent="0.3">
      <c r="A16" s="1">
        <f t="shared" si="0"/>
        <v>13</v>
      </c>
      <c r="B16" s="7" t="s">
        <v>28</v>
      </c>
      <c r="C16" s="7">
        <v>1</v>
      </c>
      <c r="D16" s="7" t="s">
        <v>27</v>
      </c>
      <c r="E16" s="13" t="s">
        <v>15</v>
      </c>
      <c r="F16" s="10">
        <v>1.94</v>
      </c>
      <c r="G16" s="8" t="s">
        <v>76</v>
      </c>
      <c r="J16" s="32"/>
      <c r="K16" s="33"/>
      <c r="L16" s="33"/>
      <c r="M16" s="33"/>
      <c r="N16" s="34"/>
    </row>
    <row r="17" spans="1:7" x14ac:dyDescent="0.25">
      <c r="A17" s="1">
        <f t="shared" si="0"/>
        <v>14</v>
      </c>
      <c r="B17" s="7" t="s">
        <v>29</v>
      </c>
      <c r="C17" s="7">
        <v>1</v>
      </c>
      <c r="D17" s="14" t="s">
        <v>77</v>
      </c>
      <c r="E17" s="13" t="s">
        <v>15</v>
      </c>
      <c r="F17" s="10">
        <v>1.69</v>
      </c>
      <c r="G17" s="8" t="s">
        <v>76</v>
      </c>
    </row>
    <row r="18" spans="1:7" x14ac:dyDescent="0.25">
      <c r="A18" s="1">
        <f t="shared" si="0"/>
        <v>15</v>
      </c>
      <c r="B18" s="7" t="s">
        <v>36</v>
      </c>
      <c r="C18" s="7">
        <v>1</v>
      </c>
      <c r="D18" s="14" t="s">
        <v>37</v>
      </c>
      <c r="E18" s="13" t="s">
        <v>15</v>
      </c>
      <c r="F18" s="10">
        <v>1.99</v>
      </c>
      <c r="G18" s="8" t="s">
        <v>76</v>
      </c>
    </row>
    <row r="19" spans="1:7" x14ac:dyDescent="0.25">
      <c r="A19" s="1">
        <f t="shared" si="0"/>
        <v>16</v>
      </c>
      <c r="B19" s="20" t="s">
        <v>30</v>
      </c>
      <c r="C19" s="20">
        <v>1</v>
      </c>
      <c r="D19" s="21" t="s">
        <v>31</v>
      </c>
      <c r="E19" s="22" t="s">
        <v>51</v>
      </c>
      <c r="F19" s="23">
        <v>35.99</v>
      </c>
      <c r="G19" s="8" t="s">
        <v>9</v>
      </c>
    </row>
    <row r="20" spans="1:7" x14ac:dyDescent="0.25">
      <c r="A20" s="1">
        <f t="shared" si="0"/>
        <v>17</v>
      </c>
      <c r="B20" s="20" t="s">
        <v>52</v>
      </c>
      <c r="C20" s="20">
        <v>1</v>
      </c>
      <c r="D20" s="21" t="s">
        <v>53</v>
      </c>
      <c r="E20" s="22" t="s">
        <v>50</v>
      </c>
      <c r="F20" s="23">
        <v>19.79</v>
      </c>
      <c r="G20" s="8" t="s">
        <v>9</v>
      </c>
    </row>
    <row r="21" spans="1:7" x14ac:dyDescent="0.25">
      <c r="A21" s="1">
        <f t="shared" si="0"/>
        <v>18</v>
      </c>
      <c r="B21" s="7" t="s">
        <v>42</v>
      </c>
      <c r="C21" s="7">
        <v>1</v>
      </c>
      <c r="D21" s="14" t="s">
        <v>43</v>
      </c>
      <c r="E21" s="13" t="s">
        <v>15</v>
      </c>
      <c r="F21" s="10">
        <v>2.4900000000000002</v>
      </c>
      <c r="G21" s="8" t="s">
        <v>76</v>
      </c>
    </row>
    <row r="22" spans="1:7" x14ac:dyDescent="0.25">
      <c r="A22" s="1">
        <f t="shared" si="0"/>
        <v>19</v>
      </c>
      <c r="B22" s="7" t="s">
        <v>41</v>
      </c>
      <c r="C22" s="7">
        <v>3</v>
      </c>
      <c r="D22" s="14" t="s">
        <v>40</v>
      </c>
      <c r="E22" s="13" t="s">
        <v>15</v>
      </c>
      <c r="F22" s="10">
        <f>C22 * 1.19</f>
        <v>3.57</v>
      </c>
      <c r="G22" s="8" t="s">
        <v>76</v>
      </c>
    </row>
    <row r="23" spans="1:7" x14ac:dyDescent="0.25">
      <c r="A23" s="1">
        <f t="shared" si="0"/>
        <v>20</v>
      </c>
      <c r="B23" s="7" t="s">
        <v>47</v>
      </c>
      <c r="C23" s="7">
        <v>3</v>
      </c>
      <c r="D23" s="14" t="s">
        <v>75</v>
      </c>
      <c r="E23" s="13" t="s">
        <v>15</v>
      </c>
      <c r="F23" s="10">
        <f>C23 * 1.49</f>
        <v>4.47</v>
      </c>
      <c r="G23" s="8" t="s">
        <v>34</v>
      </c>
    </row>
    <row r="24" spans="1:7" x14ac:dyDescent="0.25">
      <c r="A24" s="1">
        <f t="shared" si="0"/>
        <v>21</v>
      </c>
      <c r="B24" s="7" t="s">
        <v>48</v>
      </c>
      <c r="C24" s="7">
        <v>1</v>
      </c>
      <c r="D24" s="14" t="s">
        <v>49</v>
      </c>
      <c r="E24" s="13" t="s">
        <v>50</v>
      </c>
      <c r="F24" s="10">
        <f>C24 * 53.99</f>
        <v>53.99</v>
      </c>
      <c r="G24" s="8" t="s">
        <v>9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zoomScale="85" zoomScaleNormal="85" workbookViewId="0">
      <selection activeCell="B36" sqref="B36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71</v>
      </c>
      <c r="C4" s="7">
        <v>1</v>
      </c>
      <c r="D4" s="7" t="s">
        <v>72</v>
      </c>
      <c r="E4" s="12" t="s">
        <v>15</v>
      </c>
      <c r="F4" s="10">
        <f>C4 * 3.79</f>
        <v>3.79</v>
      </c>
      <c r="G4" s="8" t="s">
        <v>34</v>
      </c>
    </row>
    <row r="5" spans="1:14" x14ac:dyDescent="0.25">
      <c r="A5" s="1">
        <v>2</v>
      </c>
      <c r="B5" s="7" t="s">
        <v>55</v>
      </c>
      <c r="C5" s="7">
        <v>1</v>
      </c>
      <c r="D5" s="14" t="s">
        <v>56</v>
      </c>
      <c r="E5" s="12" t="s">
        <v>15</v>
      </c>
      <c r="F5" s="10">
        <f>C5 * 2.3</f>
        <v>2.2999999999999998</v>
      </c>
      <c r="G5" s="8" t="s">
        <v>34</v>
      </c>
    </row>
    <row r="6" spans="1:14" x14ac:dyDescent="0.25">
      <c r="A6" s="1">
        <v>3</v>
      </c>
      <c r="B6" s="7" t="s">
        <v>74</v>
      </c>
      <c r="C6" s="7">
        <v>1</v>
      </c>
      <c r="D6" s="14" t="s">
        <v>73</v>
      </c>
      <c r="E6" s="12" t="s">
        <v>15</v>
      </c>
      <c r="F6" s="10">
        <f>C6 * 1.59</f>
        <v>1.59</v>
      </c>
      <c r="G6" s="8" t="s">
        <v>34</v>
      </c>
    </row>
    <row r="7" spans="1:14" x14ac:dyDescent="0.25">
      <c r="A7" s="15">
        <v>4</v>
      </c>
      <c r="B7" s="16" t="s">
        <v>57</v>
      </c>
      <c r="C7" s="16">
        <v>1</v>
      </c>
      <c r="D7" s="24" t="s">
        <v>58</v>
      </c>
      <c r="E7" s="25" t="s">
        <v>15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59</v>
      </c>
      <c r="C8" s="7">
        <v>1</v>
      </c>
      <c r="D8" s="14" t="s">
        <v>60</v>
      </c>
      <c r="E8" s="12" t="s">
        <v>15</v>
      </c>
      <c r="F8" s="10">
        <f>C8 * 2.15</f>
        <v>2.15</v>
      </c>
      <c r="G8" s="8" t="s">
        <v>76</v>
      </c>
    </row>
    <row r="9" spans="1:14" x14ac:dyDescent="0.25">
      <c r="A9" s="1">
        <v>6</v>
      </c>
      <c r="B9" s="7" t="s">
        <v>61</v>
      </c>
      <c r="C9" s="7">
        <v>1</v>
      </c>
      <c r="D9" s="14" t="s">
        <v>62</v>
      </c>
      <c r="E9" s="12" t="s">
        <v>15</v>
      </c>
      <c r="F9" s="10">
        <f>C9 * 3.89</f>
        <v>3.89</v>
      </c>
      <c r="G9" s="8" t="s">
        <v>34</v>
      </c>
      <c r="J9" s="41" t="s">
        <v>46</v>
      </c>
      <c r="K9" s="42"/>
      <c r="L9" s="42"/>
      <c r="M9" s="42"/>
      <c r="N9" s="43"/>
    </row>
    <row r="10" spans="1:14" x14ac:dyDescent="0.25">
      <c r="A10" s="1">
        <v>7</v>
      </c>
      <c r="B10" s="7" t="s">
        <v>63</v>
      </c>
      <c r="C10" s="7">
        <v>1</v>
      </c>
      <c r="D10" s="14" t="s">
        <v>64</v>
      </c>
      <c r="E10" s="12" t="s">
        <v>15</v>
      </c>
      <c r="F10" s="10">
        <f>C10 * 1.29</f>
        <v>1.29</v>
      </c>
      <c r="G10" s="8" t="s">
        <v>34</v>
      </c>
      <c r="J10" s="44"/>
      <c r="K10" s="45"/>
      <c r="L10" s="45"/>
      <c r="M10" s="45"/>
      <c r="N10" s="46"/>
    </row>
    <row r="11" spans="1:14" x14ac:dyDescent="0.25">
      <c r="A11" s="1">
        <v>8</v>
      </c>
      <c r="B11" s="7" t="s">
        <v>65</v>
      </c>
      <c r="C11" s="7">
        <v>1</v>
      </c>
      <c r="D11" s="14" t="s">
        <v>66</v>
      </c>
      <c r="E11" s="12" t="s">
        <v>15</v>
      </c>
      <c r="F11" s="10">
        <f>C11 * 1.77</f>
        <v>1.77</v>
      </c>
      <c r="G11" s="8" t="s">
        <v>34</v>
      </c>
      <c r="J11" s="44"/>
      <c r="K11" s="45"/>
      <c r="L11" s="45"/>
      <c r="M11" s="45"/>
      <c r="N11" s="46"/>
    </row>
    <row r="12" spans="1:14" ht="15.75" thickBot="1" x14ac:dyDescent="0.3">
      <c r="A12" s="1">
        <v>9</v>
      </c>
      <c r="B12" s="7" t="s">
        <v>67</v>
      </c>
      <c r="C12" s="7">
        <v>1</v>
      </c>
      <c r="D12" s="14" t="s">
        <v>68</v>
      </c>
      <c r="E12" s="12" t="s">
        <v>15</v>
      </c>
      <c r="F12" s="10">
        <f>C12 * 2.12</f>
        <v>2.12</v>
      </c>
      <c r="G12" s="8" t="s">
        <v>34</v>
      </c>
      <c r="J12" s="47"/>
      <c r="K12" s="48"/>
      <c r="L12" s="48"/>
      <c r="M12" s="48"/>
      <c r="N12" s="49"/>
    </row>
    <row r="13" spans="1:14" x14ac:dyDescent="0.25">
      <c r="A13" s="1">
        <v>10</v>
      </c>
      <c r="B13" s="7" t="s">
        <v>69</v>
      </c>
      <c r="C13" s="7">
        <v>1</v>
      </c>
      <c r="D13" s="14" t="s">
        <v>70</v>
      </c>
      <c r="E13" s="12" t="s">
        <v>15</v>
      </c>
      <c r="F13" s="10">
        <f>C13 * 2.15</f>
        <v>2.15</v>
      </c>
      <c r="G13" s="8" t="s">
        <v>34</v>
      </c>
      <c r="J13" s="26">
        <f>SUM(F4:F30)</f>
        <v>33.14</v>
      </c>
      <c r="K13" s="27"/>
      <c r="L13" s="27"/>
      <c r="M13" s="27"/>
      <c r="N13" s="28"/>
    </row>
    <row r="14" spans="1:14" x14ac:dyDescent="0.25">
      <c r="A14" s="1">
        <f t="shared" ref="A14" si="0">A13 + 1</f>
        <v>11</v>
      </c>
      <c r="B14" s="7" t="s">
        <v>32</v>
      </c>
      <c r="C14" s="7">
        <v>1</v>
      </c>
      <c r="D14" s="14" t="s">
        <v>78</v>
      </c>
      <c r="E14" s="13" t="s">
        <v>33</v>
      </c>
      <c r="F14" s="10">
        <v>9.9600000000000009</v>
      </c>
      <c r="G14" s="8" t="s">
        <v>34</v>
      </c>
      <c r="J14" s="29"/>
      <c r="K14" s="30"/>
      <c r="L14" s="30"/>
      <c r="M14" s="30"/>
      <c r="N14" s="31"/>
    </row>
    <row r="15" spans="1:14" x14ac:dyDescent="0.25">
      <c r="J15" s="29"/>
      <c r="K15" s="30"/>
      <c r="L15" s="30"/>
      <c r="M15" s="30"/>
      <c r="N15" s="31"/>
    </row>
    <row r="16" spans="1:14" ht="15.75" thickBot="1" x14ac:dyDescent="0.3">
      <c r="J16" s="32"/>
      <c r="K16" s="33"/>
      <c r="L16" s="33"/>
      <c r="M16" s="33"/>
      <c r="N16" s="34"/>
    </row>
  </sheetData>
  <mergeCells count="3">
    <mergeCell ref="A1:G2"/>
    <mergeCell ref="J9:N12"/>
    <mergeCell ref="J13:N16"/>
  </mergeCells>
  <phoneticPr fontId="6" type="noConversion"/>
  <conditionalFormatting sqref="G4:G14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4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2025-11-16T14:48:26Z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