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.sahetapy\Documents\Git\Marble-Station-ESP32\parts\"/>
    </mc:Choice>
  </mc:AlternateContent>
  <xr:revisionPtr revIDLastSave="0" documentId="13_ncr:1_{161BBF87-2FF6-48B0-8E51-12C76FCAA547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A14" i="2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<sst xmlns="http://schemas.openxmlformats.org/spreadsheetml/2006/main" count="146" uniqueCount="80">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</sst>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rgb="FF000000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B47" sqref="B47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76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76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33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76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79</v>
      </c>
      <c r="F9" s="18">
        <v>100</v>
      </c>
      <c r="G9" s="8" t="s">
        <v>9</v>
      </c>
      <c r="J9" s="44" t="s">
        <v>46</v>
      </c>
      <c r="K9" s="45"/>
      <c r="L9" s="45"/>
      <c r="M9" s="45"/>
      <c r="N9" s="46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7" t="s">
        <v>10</v>
      </c>
      <c r="F10" s="18"/>
      <c r="G10" s="8" t="s">
        <v>9</v>
      </c>
      <c r="J10" s="47"/>
      <c r="K10" s="48"/>
      <c r="L10" s="48"/>
      <c r="M10" s="48"/>
      <c r="N10" s="49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33</v>
      </c>
      <c r="J11" s="47"/>
      <c r="K11" s="48"/>
      <c r="L11" s="48"/>
      <c r="M11" s="48"/>
      <c r="N11" s="49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14" t="s">
        <v>54</v>
      </c>
      <c r="E13" s="13" t="s">
        <v>32</v>
      </c>
      <c r="F13" s="10">
        <v>9.5500000000000007</v>
      </c>
      <c r="G13" s="8" t="s">
        <v>76</v>
      </c>
      <c r="J13" s="29">
        <f>SUM(F4:F50)</f>
        <v>271.07000000000005</v>
      </c>
      <c r="K13" s="30"/>
      <c r="L13" s="30"/>
      <c r="M13" s="30"/>
      <c r="N13" s="31"/>
    </row>
    <row r="14" spans="1:14" x14ac:dyDescent="0.25">
      <c r="A14" s="1">
        <f t="shared" si="0"/>
        <v>11</v>
      </c>
      <c r="B14" s="7" t="s">
        <v>24</v>
      </c>
      <c r="C14" s="7">
        <v>1</v>
      </c>
      <c r="D14" s="7" t="s">
        <v>25</v>
      </c>
      <c r="E14" s="13" t="s">
        <v>14</v>
      </c>
      <c r="F14" s="10">
        <v>1.35</v>
      </c>
      <c r="G14" s="8" t="s">
        <v>76</v>
      </c>
      <c r="J14" s="32"/>
      <c r="K14" s="33"/>
      <c r="L14" s="33"/>
      <c r="M14" s="33"/>
      <c r="N14" s="34"/>
    </row>
    <row r="15" spans="1:14" x14ac:dyDescent="0.25">
      <c r="A15" s="1">
        <f t="shared" si="0"/>
        <v>12</v>
      </c>
      <c r="B15" s="7" t="s">
        <v>27</v>
      </c>
      <c r="C15" s="7">
        <v>1</v>
      </c>
      <c r="D15" s="7" t="s">
        <v>45</v>
      </c>
      <c r="E15" s="13" t="s">
        <v>14</v>
      </c>
      <c r="F15" s="10">
        <v>3.69</v>
      </c>
      <c r="G15" s="8" t="s">
        <v>76</v>
      </c>
      <c r="J15" s="32"/>
      <c r="K15" s="33"/>
      <c r="L15" s="33"/>
      <c r="M15" s="33"/>
      <c r="N15" s="34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26</v>
      </c>
      <c r="E16" s="13" t="s">
        <v>14</v>
      </c>
      <c r="F16" s="10">
        <v>1.94</v>
      </c>
      <c r="G16" s="8" t="s">
        <v>76</v>
      </c>
      <c r="J16" s="35"/>
      <c r="K16" s="36"/>
      <c r="L16" s="36"/>
      <c r="M16" s="36"/>
      <c r="N16" s="37"/>
    </row>
    <row r="17" spans="1:7" x14ac:dyDescent="0.25">
      <c r="A17" s="1">
        <f t="shared" si="0"/>
        <v>14</v>
      </c>
      <c r="B17" s="7" t="s">
        <v>28</v>
      </c>
      <c r="C17" s="7">
        <v>1</v>
      </c>
      <c r="D17" s="14" t="s">
        <v>77</v>
      </c>
      <c r="E17" s="13" t="s">
        <v>14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35</v>
      </c>
      <c r="C18" s="7">
        <v>1</v>
      </c>
      <c r="D18" s="14" t="s">
        <v>36</v>
      </c>
      <c r="E18" s="13" t="s">
        <v>14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20" t="s">
        <v>29</v>
      </c>
      <c r="C19" s="20">
        <v>1</v>
      </c>
      <c r="D19" s="21" t="s">
        <v>30</v>
      </c>
      <c r="E19" s="22" t="s">
        <v>51</v>
      </c>
      <c r="F19" s="23">
        <v>28.89</v>
      </c>
      <c r="G19" s="8" t="s">
        <v>33</v>
      </c>
    </row>
    <row r="20" spans="1:7" x14ac:dyDescent="0.25">
      <c r="A20" s="1">
        <f t="shared" si="0"/>
        <v>17</v>
      </c>
      <c r="B20" s="20" t="s">
        <v>52</v>
      </c>
      <c r="C20" s="20">
        <v>1</v>
      </c>
      <c r="D20" s="21" t="s">
        <v>53</v>
      </c>
      <c r="E20" s="22" t="s">
        <v>50</v>
      </c>
      <c r="F20" s="23">
        <v>15.99</v>
      </c>
      <c r="G20" s="8" t="s">
        <v>33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14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14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14</v>
      </c>
      <c r="F23" s="10">
        <f>C23 * 1.49</f>
        <v>4.47</v>
      </c>
      <c r="G23" s="8" t="s">
        <v>76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45.69</f>
        <v>45.69</v>
      </c>
      <c r="G24" s="8" t="s">
        <v>33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E36" sqref="E36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76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76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76</v>
      </c>
    </row>
    <row r="7" spans="1:14" x14ac:dyDescent="0.25">
      <c r="A7" s="15">
        <v>4</v>
      </c>
      <c r="B7" s="16" t="s">
        <v>57</v>
      </c>
      <c r="C7" s="16">
        <v>1</v>
      </c>
      <c r="D7" s="24" t="s">
        <v>58</v>
      </c>
      <c r="E7" s="25" t="s">
        <v>14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76</v>
      </c>
      <c r="J9" s="44" t="s">
        <v>46</v>
      </c>
      <c r="K9" s="45"/>
      <c r="L9" s="45"/>
      <c r="M9" s="45"/>
      <c r="N9" s="46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76</v>
      </c>
      <c r="J10" s="47"/>
      <c r="K10" s="48"/>
      <c r="L10" s="48"/>
      <c r="M10" s="48"/>
      <c r="N10" s="49"/>
    </row>
    <row r="11" spans="1:14" x14ac:dyDescent="0.25">
      <c r="A11" s="27">
        <v>8</v>
      </c>
      <c r="B11" s="20" t="s">
        <v>65</v>
      </c>
      <c r="C11" s="20">
        <v>1</v>
      </c>
      <c r="D11" s="21" t="s">
        <v>66</v>
      </c>
      <c r="E11" s="28" t="s">
        <v>14</v>
      </c>
      <c r="F11" s="23">
        <f>C11 * 1.77</f>
        <v>1.77</v>
      </c>
      <c r="G11" s="26" t="s">
        <v>76</v>
      </c>
      <c r="J11" s="47"/>
      <c r="K11" s="48"/>
      <c r="L11" s="48"/>
      <c r="M11" s="48"/>
      <c r="N11" s="49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76</v>
      </c>
      <c r="J13" s="29">
        <f>SUM(F4:F30)</f>
        <v>33.14</v>
      </c>
      <c r="K13" s="30"/>
      <c r="L13" s="30"/>
      <c r="M13" s="30"/>
      <c r="N13" s="31"/>
    </row>
    <row r="14" spans="1:14" x14ac:dyDescent="0.25">
      <c r="A14" s="1">
        <f t="shared" ref="A14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32"/>
      <c r="K14" s="33"/>
      <c r="L14" s="33"/>
      <c r="M14" s="33"/>
      <c r="N14" s="34"/>
    </row>
    <row r="15" spans="1:14" x14ac:dyDescent="0.25">
      <c r="J15" s="32"/>
      <c r="K15" s="33"/>
      <c r="L15" s="33"/>
      <c r="M15" s="33"/>
      <c r="N15" s="34"/>
    </row>
    <row r="16" spans="1:14" ht="15.75" thickBot="1" x14ac:dyDescent="0.3">
      <c r="J16" s="35"/>
      <c r="K16" s="36"/>
      <c r="L16" s="36"/>
      <c r="M16" s="36"/>
      <c r="N16" s="37"/>
    </row>
  </sheetData>
  <mergeCells count="3">
    <mergeCell ref="A1:G2"/>
    <mergeCell ref="J9:N12"/>
    <mergeCell ref="J13:N16"/>
  </mergeCells>
  <phoneticPr fontId="6" type="noConversion"/>
  <conditionalFormatting sqref="G4: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Ruben Sahetapy</cp:lastModifiedBy>
  <dcterms:created xsi:type="dcterms:W3CDTF">2025-10-30T23:03:04Z</dcterms:created>
  <dcterms:modified xsi:type="dcterms:W3CDTF">2025-11-20T09:38:44Z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